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agner Tavares\Desktop\Pasta de Programação_Codigo\Ciencia de Dados\"/>
    </mc:Choice>
  </mc:AlternateContent>
  <xr:revisionPtr revIDLastSave="0" documentId="13_ncr:1_{CF40BA9E-F1DC-4FC0-887D-98712284221E}" xr6:coauthVersionLast="47" xr6:coauthVersionMax="47" xr10:uidLastSave="{00000000-0000-0000-0000-000000000000}"/>
  <bookViews>
    <workbookView xWindow="-108" yWindow="-108" windowWidth="23256" windowHeight="12456" xr2:uid="{6F05710A-D2D6-4763-911D-D2AD49371408}"/>
  </bookViews>
  <sheets>
    <sheet name="Dados Fixos" sheetId="1" r:id="rId1"/>
    <sheet name="Inspeção Rotineira" sheetId="3" r:id="rId2"/>
    <sheet name="Inspeção Especial" sheetId="2" r:id="rId3"/>
    <sheet name="Classe de Agressividade Amb." sheetId="5" r:id="rId4"/>
  </sheets>
  <definedNames>
    <definedName name="_">#REF!</definedName>
    <definedName name="_1__123Graph_ACHART_1" hidden="1">#REF!</definedName>
    <definedName name="_2__123Graph_ACHART_3" hidden="1">#REF!</definedName>
    <definedName name="_3__123Graph_BCHART_1" hidden="1">#REF!</definedName>
    <definedName name="_4__123Graph_CCHART_1" hidden="1">#REF!</definedName>
    <definedName name="_44__REAL._ACUM.">OFFSET(#REF!,,,1,MATCH(#REF!,#REF!,1))</definedName>
    <definedName name="_5__123Graph_DCHART_1" hidden="1">#REF!</definedName>
    <definedName name="_6__123Graph_ECHART_1" hidden="1">#REF!</definedName>
    <definedName name="_7__123Graph_FCHART_1" hidden="1">#REF!</definedName>
    <definedName name="_8__123Graph_XCHART_3" hidden="1">#REF!</definedName>
    <definedName name="_ago1" hidden="1">{"'gráf jan00'!$A$1:$AK$41"}</definedName>
    <definedName name="_ago10" hidden="1">{"'gráf jan00'!$A$1:$AK$41"}</definedName>
    <definedName name="_ago2" hidden="1">{"'gráf jan00'!$A$1:$AK$41"}</definedName>
    <definedName name="_ago3" hidden="1">{"'gráf jan00'!$A$1:$AK$41"}</definedName>
    <definedName name="_ago4" hidden="1">{"'gráf jan00'!$A$1:$AK$41"}</definedName>
    <definedName name="_ago5" hidden="1">{"'gráf jan00'!$A$1:$AK$41"}</definedName>
    <definedName name="_ago6" hidden="1">{"'gráf jan00'!$A$1:$AK$41"}</definedName>
    <definedName name="_ago7" hidden="1">{"'gráf jan00'!$A$1:$AK$41"}</definedName>
    <definedName name="_ago8" hidden="1">{"'gráf jan00'!$A$1:$AK$41"}</definedName>
    <definedName name="_ago9" hidden="1">{"'gráf jan00'!$A$1:$AK$41"}</definedName>
    <definedName name="_ago99999" hidden="1">{"'gráf jan00'!$A$1:$AK$41"}</definedName>
    <definedName name="_Ano1">#REF!</definedName>
    <definedName name="_Ano2">#REF!</definedName>
    <definedName name="_bbb1">#REF!</definedName>
    <definedName name="_bbb3">#REF!</definedName>
    <definedName name="_BBB4">#REF!</definedName>
    <definedName name="_BBB5">#REF!</definedName>
    <definedName name="_BBB6">#REF!</definedName>
    <definedName name="_eagora?" hidden="1">{"'Quadro'!$A$4:$BG$78"}</definedName>
    <definedName name="_efc10" hidden="1">{"'RR'!$A$2:$E$81"}</definedName>
    <definedName name="_EFC2" hidden="1">{"'RR'!$A$2:$E$81"}</definedName>
    <definedName name="_EFC3" hidden="1">{"'RR'!$A$2:$E$81"}</definedName>
    <definedName name="_EFC4" hidden="1">{"'RR'!$A$2:$E$81"}</definedName>
    <definedName name="_F1">#REF!</definedName>
    <definedName name="_F2">#REF!</definedName>
    <definedName name="_F3">#REF!</definedName>
    <definedName name="_ffp16" hidden="1">{"'gráf jan00'!$A$1:$AK$41"}</definedName>
    <definedName name="_ffp4589" hidden="1">{"'gráf jan00'!$A$1:$AK$41"}</definedName>
    <definedName name="_xlnm._FilterDatabase" localSheetId="2" hidden="1">'Inspeção Especial'!$B$4:$AU$29</definedName>
    <definedName name="_xlnm._FilterDatabase" localSheetId="1" hidden="1">'Inspeção Rotineira'!$B$4:$AU$29</definedName>
    <definedName name="_GRP1">#REF!</definedName>
    <definedName name="_GRP2">#REF!</definedName>
    <definedName name="_GRP3">#REF!</definedName>
    <definedName name="_jun04" hidden="1">{"'gráf jan00'!$A$1:$AK$41"}</definedName>
    <definedName name="_K001">[0]!_K001</definedName>
    <definedName name="_let1">#REF!</definedName>
    <definedName name="_let2">#REF!,#REF!,#REF!,#REF!</definedName>
    <definedName name="_let4">#REF!</definedName>
    <definedName name="_Mes2">#REF!</definedName>
    <definedName name="_Order1" hidden="1">255</definedName>
    <definedName name="_Order2" hidden="1">255</definedName>
    <definedName name="_pA5">#REF!</definedName>
    <definedName name="_pA6">#REF!</definedName>
    <definedName name="_pC5">#REF!</definedName>
    <definedName name="_PN10" hidden="1">{"'gráf jan00'!$A$1:$AK$41"}</definedName>
    <definedName name="_r" hidden="1">{"'CptDifn'!$AA$32:$AG$32"}</definedName>
    <definedName name="_rec" hidden="1">{"'gráf jan00'!$A$1:$AK$41"}</definedName>
    <definedName name="_rec12" hidden="1">{"'gráf jan00'!$A$1:$AK$41"}</definedName>
    <definedName name="_rg14">#REF!</definedName>
    <definedName name="_TVP1">#REF!</definedName>
    <definedName name="_TVP2">#REF!</definedName>
    <definedName name="_Ver1">#REF!</definedName>
    <definedName name="_Ver2">#REF!</definedName>
    <definedName name="A" hidden="1">{"'Quadro'!$A$4:$BG$78"}</definedName>
    <definedName name="aa" hidden="1">{"'Quadro'!$A$4:$BG$78"}</definedName>
    <definedName name="aaa">#REF!</definedName>
    <definedName name="aaaaa" hidden="1">{"'gráf jan00'!$A$1:$AK$41"}</definedName>
    <definedName name="aaas" hidden="1">{"'gráf jan00'!$A$1:$AK$41"}</definedName>
    <definedName name="aasaasas" hidden="1">{#N/A,#N/A,TRUE,"indice";#N/A,#N/A,TRUE,"indicadores";#N/A,#N/A,TRUE,"comentarios"}</definedName>
    <definedName name="AB" hidden="1">{"'gráf jan00'!$A$1:$AK$41"}</definedName>
    <definedName name="abc" hidden="1">#N/A</definedName>
    <definedName name="ABC.XLS" hidden="1">{"'Quadro'!$A$4:$BG$78"}</definedName>
    <definedName name="abobora.xls" hidden="1">{"'Quadro'!$A$4:$BG$78"}</definedName>
    <definedName name="Acidente" hidden="1">{"'gráf jan00'!$A$1:$AK$41"}</definedName>
    <definedName name="ACU">[0]!ACU</definedName>
    <definedName name="ACUMLU2">[0]!ACUMLU2</definedName>
    <definedName name="Acumul">[0]!Acumul</definedName>
    <definedName name="Acumula">[0]!Acumula</definedName>
    <definedName name="Acumulado">#REF!</definedName>
    <definedName name="Ad.Física">Plan1</definedName>
    <definedName name="ADAJHDAS">#REF!</definedName>
    <definedName name="adas">#REF!</definedName>
    <definedName name="adasdad" hidden="1">{"'gráf jan00'!$A$1:$AK$41"}</definedName>
    <definedName name="ADDED">[0]!ADDED</definedName>
    <definedName name="ADED" hidden="1">{"'gráf jan00'!$A$1:$AK$41"}</definedName>
    <definedName name="Adequação">[0]!Adequação</definedName>
    <definedName name="Adequaqção" hidden="1">{"'gráf jan00'!$A$1:$AK$41"}</definedName>
    <definedName name="AderênciaFísica">#REF!</definedName>
    <definedName name="adsf">#REF!</definedName>
    <definedName name="afds" hidden="1">{"'gráf jan00'!$A$1:$AK$41"}</definedName>
    <definedName name="AGAKLJDFK" hidden="1">{"'gráf jan00'!$A$1:$AK$41"}</definedName>
    <definedName name="ago" hidden="1">{"'gráf jan00'!$A$1:$AK$41"}</definedName>
    <definedName name="agost5" hidden="1">{"'gráf jan00'!$A$1:$AK$41"}</definedName>
    <definedName name="Agosto" hidden="1">{#N/A,#N/A,FALSE,"SITUAÇÃO DIÁRIA ";#N/A,#N/A,FALSE,"7 à 7"}</definedName>
    <definedName name="ah">#REF!</definedName>
    <definedName name="Ampliação_do_Pátio_Intermediário_da_Torre_D___Tubarão">#REF!</definedName>
    <definedName name="AMV" hidden="1">{"'gráf jan00'!$A$1:$AK$41"}</definedName>
    <definedName name="an">#REF!</definedName>
    <definedName name="ana">#REF!</definedName>
    <definedName name="ANEXO1" hidden="1">{"'teste'!$B$2:$R$49"}</definedName>
    <definedName name="ANEXO2" hidden="1">{"'teste'!$B$2:$R$49"}</definedName>
    <definedName name="Ano">#REF!</definedName>
    <definedName name="ANOANT">#REF!</definedName>
    <definedName name="Anoprop">#REF!</definedName>
    <definedName name="AR" hidden="1">{"'Quadro'!$A$4:$BG$78"}</definedName>
    <definedName name="Área">#REF!</definedName>
    <definedName name="ÁREA_01">#REF!</definedName>
    <definedName name="ÁREA_02">#REF!</definedName>
    <definedName name="ÁREA_03">#REF!</definedName>
    <definedName name="ÁREA_04">#REF!</definedName>
    <definedName name="AREA_2">#REF!</definedName>
    <definedName name="_xlnm.Print_Area">#REF!</definedName>
    <definedName name="Area_Executante">#REF!</definedName>
    <definedName name="Área_impressão_IF">#REF!</definedName>
    <definedName name="Área_impressão_IL">#REF!</definedName>
    <definedName name="Área_impressão_IM">#REF!</definedName>
    <definedName name="Area_Solicitante">#REF!</definedName>
    <definedName name="AREEWR" hidden="1">{"'Quadro'!$A$4:$BG$78"}</definedName>
    <definedName name="Arq_Nome">#REF!</definedName>
    <definedName name="Arq_Nome2">#REF!</definedName>
    <definedName name="Arquivo">#REF!</definedName>
    <definedName name="as" hidden="1">{"'RR'!$A$2:$E$81"}</definedName>
    <definedName name="AS2DocOpenMode" hidden="1">"AS2DocumentEdit"</definedName>
    <definedName name="AS2NamedRange" hidden="1">18</definedName>
    <definedName name="asaasaas" hidden="1">{#N/A,#N/A,TRUE,"indice";#N/A,#N/A,TRUE,"indicadores";#N/A,#N/A,TRUE,"comentarios"}</definedName>
    <definedName name="asaas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as">#REF!</definedName>
    <definedName name="asd" hidden="1">{"'gráf jan00'!$A$1:$AK$41"}</definedName>
    <definedName name="asdad" hidden="1">{"'gráf jan00'!$A$1:$AK$41"}</definedName>
    <definedName name="asdadadad" hidden="1">{"'gráf jan00'!$A$1:$AK$41"}</definedName>
    <definedName name="ASDASD">#REF!</definedName>
    <definedName name="asdasdasdas" hidden="1">{"'gráf jan00'!$A$1:$AK$41"}</definedName>
    <definedName name="asdf" hidden="1">{"'Quadro'!$A$4:$BG$78"}</definedName>
    <definedName name="asdfa">#REF!</definedName>
    <definedName name="asdg" hidden="1">{"'gráf jan00'!$A$1:$AK$41"}</definedName>
    <definedName name="asdryhsd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DS">#N/A</definedName>
    <definedName name="ASDSD" hidden="1">{"'Quadro'!$A$4:$BG$78"}</definedName>
    <definedName name="ASPEP">#REF!</definedName>
    <definedName name="asrgad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SWEFGQ3" hidden="1">{"'gráf jan00'!$A$1:$AK$41"}</definedName>
    <definedName name="AT" hidden="1">{"'Quadro'!$A$4:$BG$78"}</definedName>
    <definedName name="atb">#REF!</definedName>
    <definedName name="atc" hidden="1">{"'Quadro'!$A$4:$BG$78"}</definedName>
    <definedName name="Auto_Exibição">0</definedName>
    <definedName name="AW" hidden="1">{"'Quadro'!$A$4:$BG$78"}</definedName>
    <definedName name="awdas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azbhj.xls">[0]!azbhj.xls</definedName>
    <definedName name="b">#REF!</definedName>
    <definedName name="BALANCO">#REF!</definedName>
    <definedName name="_xlnm.Database">#REF!</definedName>
    <definedName name="BASD">#REF!,#REF!,#REF!,#REF!,#REF!</definedName>
    <definedName name="bb">#REF!</definedName>
    <definedName name="bbb">#REF!</definedName>
    <definedName name="BD.2001.10">#REF!</definedName>
    <definedName name="BLCHV">#REF!</definedName>
    <definedName name="bonus">#REF!</definedName>
    <definedName name="BS">#REF!</definedName>
    <definedName name="BVO">#REF!</definedName>
    <definedName name="BVR">#REF!</definedName>
    <definedName name="BXF" hidden="1">{"'Quadro'!$A$4:$BG$78"}</definedName>
    <definedName name="ç" hidden="1">{"'gráf jan00'!$A$1:$AK$41"}</definedName>
    <definedName name="c_c" hidden="1">{"'REL CUSTODIF'!$B$1:$H$72"}</definedName>
    <definedName name="CA">#REF!</definedName>
    <definedName name="cacro120">[0]!cacro120</definedName>
    <definedName name="CAGADA">#REF!</definedName>
    <definedName name="CALBUMMEDIDAACUM2">#REF!</definedName>
    <definedName name="camb4">#REF!</definedName>
    <definedName name="camb5">#REF!</definedName>
    <definedName name="camb6">#REF!</definedName>
    <definedName name="camb7">#REF!</definedName>
    <definedName name="CambioMedioReal05">#REF!</definedName>
    <definedName name="CambioMedioReal06">#REF!</definedName>
    <definedName name="cambpe">#REF!</definedName>
    <definedName name="CARRO">#REF!</definedName>
    <definedName name="CASA">#REF!</definedName>
    <definedName name="Causa">#REF!</definedName>
    <definedName name="cc">#REF!</definedName>
    <definedName name="ccc">#REF!</definedName>
    <definedName name="cccccc">[0]!cccccc</definedName>
    <definedName name="ccccccc">[0]!ccccccc</definedName>
    <definedName name="ccccccccc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cchave">#REF!</definedName>
    <definedName name="CChv">#REF!</definedName>
    <definedName name="ccoluna">#REF!</definedName>
    <definedName name="CD">#REF!</definedName>
    <definedName name="CF">#REF!</definedName>
    <definedName name="cha">#REF!,#REF!,#REF!,#REF!,#REF!,#REF!,#REF!,#REF!,#REF!,#REF!,#REF!,#REF!</definedName>
    <definedName name="charles" hidden="1">{"'gráf jan00'!$A$1:$AK$41"}</definedName>
    <definedName name="chave">#REF!</definedName>
    <definedName name="ChaveMeta">INDIRECT("Menu!$B$19")</definedName>
    <definedName name="ChaveReal">INDIRECT("Menu!$B$20")</definedName>
    <definedName name="ChaveRealDia">INDIRECT("Menu!$B$21")</definedName>
    <definedName name="check">#REF!</definedName>
    <definedName name="checklist">#REF!</definedName>
    <definedName name="CHECKSSO_OUT" hidden="1">{"'Quadro'!$A$4:$BG$78"}</definedName>
    <definedName name="ciclo1">#REF!</definedName>
    <definedName name="ciclo2">#REF!</definedName>
    <definedName name="ciclos" hidden="1">{"'RR'!$A$2:$E$81"}</definedName>
    <definedName name="ÇL" hidden="1">{"'Quadro'!$A$4:$BG$78"}</definedName>
    <definedName name="CLASSES">#REF!</definedName>
    <definedName name="çlçl" hidden="1">{"'Quadro'!$A$4:$BG$78"}</definedName>
    <definedName name="clinha">#REF!</definedName>
    <definedName name="Clschv">#REF!</definedName>
    <definedName name="CMC" hidden="1">{"'Quadro'!$A$4:$BG$78"}</definedName>
    <definedName name="çmç">#REF!</definedName>
    <definedName name="cmcmcm">[0]!cmcmcm</definedName>
    <definedName name="COD">#REF!</definedName>
    <definedName name="codigo">#REF!</definedName>
    <definedName name="coluna">#REF!</definedName>
    <definedName name="COLUNA_TOTAIS">#REF!</definedName>
    <definedName name="ColunaFinal">#REF!</definedName>
    <definedName name="ColunaInicial">#REF!</definedName>
    <definedName name="ColunaPatio">#REF!</definedName>
    <definedName name="ColunaSelecionada">#REF!</definedName>
    <definedName name="Comprimento">#REF!</definedName>
    <definedName name="Cons5">#REF!</definedName>
    <definedName name="consolidado">#REF!,#REF!,#REF!,#REF!,#REF!</definedName>
    <definedName name="Consulta5">#REF!</definedName>
    <definedName name="Contas">#REF!</definedName>
    <definedName name="Contratados">[0]!Contratados</definedName>
    <definedName name="cost_of_debt">#REF!</definedName>
    <definedName name="CotVersao">#REF!</definedName>
    <definedName name="CPIA">#REF!</definedName>
    <definedName name="cpt">#REF!</definedName>
    <definedName name="cr_reten__ocgeralturno_cg_dados">#REF!</definedName>
    <definedName name="CRIT2">#REF!</definedName>
    <definedName name="Criteria">#REF!</definedName>
    <definedName name="_xlnm.Criteria">#REF!</definedName>
    <definedName name="cs_fase1">#REF!</definedName>
    <definedName name="CV">#REF!</definedName>
    <definedName name="cxz" hidden="1">{"'gráf jan00'!$A$1:$AK$41"}</definedName>
    <definedName name="D" hidden="1">{"'gráf jan00'!$A$1:$AK$41"}</definedName>
    <definedName name="D_GRP1">#REF!</definedName>
    <definedName name="D_GRP2">#REF!</definedName>
    <definedName name="D_GRP3">#REF!</definedName>
    <definedName name="DAChv">#REF!</definedName>
    <definedName name="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adad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ados">#REF!,#REF!,#REF!,#REF!,#REF!</definedName>
    <definedName name="Dados1">#REF!,#REF!,#REF!,#REF!,#REF!</definedName>
    <definedName name="dafasfas">#REF!</definedName>
    <definedName name="Data">#REF!</definedName>
    <definedName name="Database">#REF!</definedName>
    <definedName name="david" hidden="1">{"'gráf jan00'!$A$1:$AK$41"}</definedName>
    <definedName name="david1" hidden="1">{"'gráf jan00'!$A$1:$AK$41"}</definedName>
    <definedName name="DB">#REF!</definedName>
    <definedName name="DChv">#REF!</definedName>
    <definedName name="dd" hidden="1">{"'RR'!$A$2:$E$81"}</definedName>
    <definedName name="ddd">#REF!</definedName>
    <definedName name="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DDDDDDDDDDDDDD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DDEEERE" hidden="1">{"'gráf jan00'!$A$1:$AK$41"}</definedName>
    <definedName name="DDM">#REF!</definedName>
    <definedName name="de">#REF!</definedName>
    <definedName name="DEAM" hidden="1">{"'CptDifn'!$AA$32:$AG$32"}</definedName>
    <definedName name="DEAS" hidden="1">{"'CptDifn'!$AA$32:$AG$32"}</definedName>
    <definedName name="DECG" hidden="1">{"'CptDifn'!$AA$32:$AG$32"}</definedName>
    <definedName name="defwe" hidden="1">{"'Quadro'!$A$4:$BG$78"}</definedName>
    <definedName name="DEGL" hidden="1">{"'CptDifn'!$AA$32:$AG$32"}</definedName>
    <definedName name="DescEmp">#REF!</definedName>
    <definedName name="DESCOR" hidden="1">{"'gráf jan00'!$A$1:$AK$41"}</definedName>
    <definedName name="Descrição">#REF!</definedName>
    <definedName name="descrisão" hidden="1">{"'gráf jan00'!$A$1:$AK$41"}</definedName>
    <definedName name="detalhamento_vagoes">#REF!</definedName>
    <definedName name="Detalhe" hidden="1">{"'Resumo'!$A$4:$N$60"}</definedName>
    <definedName name="devers2">#REF!</definedName>
    <definedName name="df">#REF!,#REF!,#REF!,#REF!,#REF!</definedName>
    <definedName name="dfadsfsadf" hidden="1">{"'gráf jan00'!$A$1:$AK$41"}</definedName>
    <definedName name="dfd" hidden="1">{"'gráf jan00'!$A$1:$AK$41"}</definedName>
    <definedName name="DFDFDF" hidden="1">{"'gráf jan00'!$A$1:$AK$41"}</definedName>
    <definedName name="dffasf" hidden="1">{#N/A,#N/A,TRUE,"indice";#N/A,#N/A,TRUE,"indicadores";#N/A,#N/A,TRUE,"comentarios"}</definedName>
    <definedName name="DFGADET" hidden="1">{"'gráf jan00'!$A$1:$AK$41"}</definedName>
    <definedName name="DFGDFGD" hidden="1">{"'Quadro'!$A$4:$BG$78"}</definedName>
    <definedName name="dfgdfgnb">#REF!</definedName>
    <definedName name="dfhgdf" hidden="1">{#N/A,#N/A,TRUE,"indice";#N/A,#N/A,TRUE,"indicadores";#N/A,#N/A,TRUE,"comentarios"}</definedName>
    <definedName name="dfuil" hidden="1">{"'RR'!$A$2:$E$81"}</definedName>
    <definedName name="dgdrg">#REF!</definedName>
    <definedName name="Dia_D">#REF!</definedName>
    <definedName name="DiaD">#REF!</definedName>
    <definedName name="Dificuldade">#REF!</definedName>
    <definedName name="DILO_Ferrovia" hidden="1">{"'Quadro'!$A$4:$BG$78"}</definedName>
    <definedName name="Dimensionado">#REF!</definedName>
    <definedName name="Diretório">#REF!</definedName>
    <definedName name="disp1" hidden="1">{"'RR'!$A$2:$E$81"}</definedName>
    <definedName name="Displocopaul1" hidden="1">{"'gráf jan00'!$A$1:$AK$41"}</definedName>
    <definedName name="disppaul" hidden="1">{"'gráf jan00'!$A$1:$AK$41"}</definedName>
    <definedName name="Disppaul1" hidden="1">{"'gráf jan00'!$A$1:$AK$41"}</definedName>
    <definedName name="disppaul10" hidden="1">{"'gráf jan00'!$A$1:$AK$41"}</definedName>
    <definedName name="disppaul100" hidden="1">{"'gráf jan00'!$A$1:$AK$41"}</definedName>
    <definedName name="disppaul11" hidden="1">{"'Quadro'!$A$4:$BG$78"}</definedName>
    <definedName name="disppaul12" hidden="1">{"'gráf jan00'!$A$1:$AK$41"}</definedName>
    <definedName name="disppaul120">[0]!disppaul120</definedName>
    <definedName name="disppaul13" hidden="1">{"'gráf jan00'!$A$1:$AK$41"}</definedName>
    <definedName name="disppaul14" hidden="1">{"'gráf jan00'!$A$1:$AK$41"}</definedName>
    <definedName name="disppaul15" hidden="1">{"'gráf jan00'!$A$1:$AK$41"}</definedName>
    <definedName name="disppaul2" hidden="1">{"'gráf jan00'!$A$1:$AK$41"}</definedName>
    <definedName name="disppaul4" hidden="1">{"'gráf jan00'!$A$1:$AK$41"}</definedName>
    <definedName name="DispTelGASAG" hidden="1">{"'teste'!$B$2:$R$49"}</definedName>
    <definedName name="Distribuiçao">#REF!</definedName>
    <definedName name="Divers">#REF!</definedName>
    <definedName name="DMChv">#REF!</definedName>
    <definedName name="DMChvOrc">#REF!</definedName>
    <definedName name="DN">#REF!</definedName>
    <definedName name="DNVP">#REF!</definedName>
    <definedName name="DO">#REF!</definedName>
    <definedName name="DRE">#REF!</definedName>
    <definedName name="DS" hidden="1">{"'Quadro'!$A$4:$BG$78"}</definedName>
    <definedName name="Dsc">#REF!</definedName>
    <definedName name="dsda" hidden="1">{#N/A,#N/A,TRUE,"indice";#N/A,#N/A,TRUE,"indicadores";#N/A,#N/A,TRUE,"comentarios"}</definedName>
    <definedName name="dsipaul" hidden="1">{"'gráf jan00'!$A$1:$AK$41"}</definedName>
    <definedName name="dssssss" hidden="1">{"'gráf jan00'!$A$1:$AK$41"}</definedName>
    <definedName name="DV" hidden="1">{"'Quadro'!$A$4:$BG$78"}</definedName>
    <definedName name="DVChv">#REF!</definedName>
    <definedName name="dwd" hidden="1">{"'Quadro'!$A$4:$BG$78"}</definedName>
    <definedName name="e">#REF!</definedName>
    <definedName name="EAChv">#REF!</definedName>
    <definedName name="ebitda_baovale">#REF!</definedName>
    <definedName name="ebitda_cpbs">#REF!</definedName>
    <definedName name="ebitda_dico">#REF!</definedName>
    <definedName name="ebitda_difn">#REF!</definedName>
    <definedName name="ebitda_difs">#REF!</definedName>
    <definedName name="ebitda_dima">#REF!</definedName>
    <definedName name="ebitda_dipe">#REF!</definedName>
    <definedName name="ebitda_giic">#REF!</definedName>
    <definedName name="ebitda_hisp">#REF!</definedName>
    <definedName name="ebitda_itab">#REF!</definedName>
    <definedName name="ebitda_kob">#REF!</definedName>
    <definedName name="ebitda_manganes">#REF!</definedName>
    <definedName name="ebitda_mbr">#REF!</definedName>
    <definedName name="ebitda_msg">#REF!</definedName>
    <definedName name="ebitda_nib">#REF!</definedName>
    <definedName name="ebitda_samarco">#REF!</definedName>
    <definedName name="Ec50_">#REF!</definedName>
    <definedName name="eChv">#REF!</definedName>
    <definedName name="ECRNAT">#REF!</definedName>
    <definedName name="ECRNATDT">#REF!</definedName>
    <definedName name="EcSalAAn">#REF!</definedName>
    <definedName name="EcSalAAt">#REF!</definedName>
    <definedName name="EcSalMes">#REF!</definedName>
    <definedName name="EDUARDO">#REF!</definedName>
    <definedName name="ee">#REF!</definedName>
    <definedName name="EEE" hidden="1">{"'gráf jan00'!$A$1:$AK$41"}</definedName>
    <definedName name="EFATRL">#REF!</definedName>
    <definedName name="EFATURA">#REF!</definedName>
    <definedName name="EFC" hidden="1">{"'RR'!$A$2:$E$81"}</definedName>
    <definedName name="EFCEletron" hidden="1">{"'RR'!$A$2:$E$81"}</definedName>
    <definedName name="EFVM" hidden="1">{"'RR'!$A$2:$E$81"}</definedName>
    <definedName name="EFVM2" hidden="1">{"'RR'!$A$2:$E$81"}</definedName>
    <definedName name="EFVM3" hidden="1">{"'RR'!$A$2:$E$81"}</definedName>
    <definedName name="eGasAacu">#REF!</definedName>
    <definedName name="eGasAacuUS">#REF!</definedName>
    <definedName name="eGasAcu">#REF!</definedName>
    <definedName name="eGasAcuUS">#REF!</definedName>
    <definedName name="eGasmes">#REF!</definedName>
    <definedName name="eGasmesus">#REF!</definedName>
    <definedName name="EJI" hidden="1">{"'Quadro'!$A$4:$BG$78"}</definedName>
    <definedName name="eKey">#REF!</definedName>
    <definedName name="ELAINE">#REF!</definedName>
    <definedName name="ELMA1">#REF!</definedName>
    <definedName name="ELMA2">#REF!</definedName>
    <definedName name="ELMChv">#REF!</definedName>
    <definedName name="ElmChvN">#REF!</definedName>
    <definedName name="ELMO">#REF!</definedName>
    <definedName name="ELMPA1">#REF!</definedName>
    <definedName name="ELMPA2">#REF!</definedName>
    <definedName name="ELMPO">#REF!</definedName>
    <definedName name="ElmPOrc">#REF!</definedName>
    <definedName name="ELMPR">#REF!</definedName>
    <definedName name="ELMPV1">#REF!</definedName>
    <definedName name="ELMPV2">#REF!</definedName>
    <definedName name="ELMR">#REF!</definedName>
    <definedName name="ELMV1">#REF!</definedName>
    <definedName name="ELMV2">#REF!</definedName>
    <definedName name="EMChv">#REF!</definedName>
    <definedName name="eprdacuat">#REF!</definedName>
    <definedName name="eprdchv">#REF!</definedName>
    <definedName name="eprdmes">#REF!</definedName>
    <definedName name="Equipe">#REF!</definedName>
    <definedName name="EQUIPES">#REF!</definedName>
    <definedName name="era">#REF!</definedName>
    <definedName name="erb" hidden="1">{"'Quadro'!$A$4:$BG$78"}</definedName>
    <definedName name="erc" hidden="1">{"'RR'!$A$2:$E$81"}</definedName>
    <definedName name="erd">#REF!</definedName>
    <definedName name="ere">#REF!</definedName>
    <definedName name="erf">#REF!</definedName>
    <definedName name="erg">#REF!</definedName>
    <definedName name="erh">#REF!</definedName>
    <definedName name="erj">#REF!</definedName>
    <definedName name="ertert">#REF!</definedName>
    <definedName name="ESEQ">#REF!</definedName>
    <definedName name="ESEQ1">#REF!</definedName>
    <definedName name="ESPERA_Dias">#REF!</definedName>
    <definedName name="ESPERA_Media">#REF!</definedName>
    <definedName name="ESPERA_Navios">#REF!</definedName>
    <definedName name="estocagem">#REF!</definedName>
    <definedName name="ETxChv">#REF!</definedName>
    <definedName name="EValA1">#REF!</definedName>
    <definedName name="EValA1Orc">#REF!</definedName>
    <definedName name="EValA2">#REF!</definedName>
    <definedName name="EValA2Orc">#REF!</definedName>
    <definedName name="Evalmov">#REF!</definedName>
    <definedName name="Evalmov1">#REF!</definedName>
    <definedName name="EValO">#REF!</definedName>
    <definedName name="EValO1sem">#REF!</definedName>
    <definedName name="EValO2sem">#REF!</definedName>
    <definedName name="EValOAgo_Dez">#REF!</definedName>
    <definedName name="EValOJul">#REF!</definedName>
    <definedName name="EValOOrc">#REF!</definedName>
    <definedName name="EValR">#REF!</definedName>
    <definedName name="EValV1">#REF!</definedName>
    <definedName name="EValV2">#REF!</definedName>
    <definedName name="EVChv">#REF!</definedName>
    <definedName name="EVolA1">#REF!</definedName>
    <definedName name="EVolA1Orc">#REF!</definedName>
    <definedName name="EVolA2">#REF!</definedName>
    <definedName name="EVolA2Orc">#REF!</definedName>
    <definedName name="eVolChv">#REF!</definedName>
    <definedName name="EVolFat">#REF!</definedName>
    <definedName name="Evolmov">#REF!</definedName>
    <definedName name="Evolmov1">#REF!</definedName>
    <definedName name="EVolO">#REF!</definedName>
    <definedName name="EVolO1sem">#REF!</definedName>
    <definedName name="EVolO2sem">#REF!</definedName>
    <definedName name="EVolOAgo_Dez">#REF!</definedName>
    <definedName name="EVolOJul">#REF!</definedName>
    <definedName name="EVolOOrc">#REF!</definedName>
    <definedName name="EVolR">#REF!</definedName>
    <definedName name="EVolV1">#REF!</definedName>
    <definedName name="EVolV2">#REF!</definedName>
    <definedName name="ewew">#REF!</definedName>
    <definedName name="ex">#REF!</definedName>
    <definedName name="exeAcum">#REF!</definedName>
    <definedName name="ExecPe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exeMes">#REF!</definedName>
    <definedName name="exeValor">#REF!</definedName>
    <definedName name="exp">#REF!</definedName>
    <definedName name="Expr1002">#REF!</definedName>
    <definedName name="EXTR2">#REF!</definedName>
    <definedName name="Extra">[0]!Extra</definedName>
    <definedName name="f" hidden="1">{"'gráf jan00'!$A$1:$AK$41"}</definedName>
    <definedName name="fadfa">#REF!,#REF!,#REF!,#REF!</definedName>
    <definedName name="fads">#REF!,#REF!,#REF!,#REF!,#REF!,#REF!,#REF!,#REF!,#REF!,#REF!,#REF!,#REF!,#REF!,#REF!</definedName>
    <definedName name="fadsf">#REF!,#REF!,#REF!,#REF!,#REF!,#REF!,#REF!,#REF!,#REF!,#REF!,#REF!,#REF!,#REF!,#REF!,#REF!,#REF!,#REF!,#REF!,#REF!,#REF!</definedName>
    <definedName name="FAIXA">#REF!</definedName>
    <definedName name="farol">#REF!</definedName>
    <definedName name="FAROL_2" hidden="1">{"'gráf jan00'!$A$1:$AK$41"}</definedName>
    <definedName name="fasdf">#REF!,#REF!,#REF!,#REF!,#REF!,#REF!,#REF!,#REF!,#REF!,#REF!,#REF!,#REF!,#REF!</definedName>
    <definedName name="fasdfasfdadsf" hidden="1">{"'gráf jan00'!$A$1:$AK$41"}</definedName>
    <definedName name="Fat">#REF!</definedName>
    <definedName name="FazFiltro">#REF!</definedName>
    <definedName name="FCA" hidden="1">{"'Quadro'!$A$4:$BG$78"}</definedName>
    <definedName name="fd" hidden="1">{"'Quadro'!$A$4:$BG$78"}</definedName>
    <definedName name="FDFDFDFDF" hidden="1">{"'gráf jan00'!$A$1:$AK$41"}</definedName>
    <definedName name="fds" hidden="1">{"'gráf jan00'!$A$1:$AK$41"}</definedName>
    <definedName name="FDSA">#REF!</definedName>
    <definedName name="FDSFSD" hidden="1">{"'gráf jan00'!$A$1:$AK$41"}</definedName>
    <definedName name="fegregtrt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ernanda" hidden="1">{#N/A,#N/A,TRUE,"indice";#N/A,#N/A,TRUE,"indicadores";#N/A,#N/A,TRUE,"comentarios"}</definedName>
    <definedName name="Fevereiro" hidden="1">{"'Quadro'!$A$4:$BG$78"}</definedName>
    <definedName name="ff" hidden="1">{"'gráf jan00'!$A$1:$AK$41"}</definedName>
    <definedName name="FFF">#REF!</definedName>
    <definedName name="FFVP" hidden="1">{"'gráf jan00'!$A$1:$AK$41"}</definedName>
    <definedName name="FFVP1" hidden="1">{"'gráf jan00'!$A$1:$AK$41"}</definedName>
    <definedName name="FFVP10" hidden="1">{"'gráf jan00'!$A$1:$AK$41"}</definedName>
    <definedName name="FFVP11" hidden="1">{"'gráf jan00'!$A$1:$AK$41"}</definedName>
    <definedName name="FFVP12" hidden="1">{"'gráf jan00'!$A$1:$AK$41"}</definedName>
    <definedName name="FFVP13" hidden="1">{"'gráf jan00'!$A$1:$AK$41"}</definedName>
    <definedName name="FFVP14" hidden="1">{"'gráf jan00'!$A$1:$AK$41"}</definedName>
    <definedName name="FFVP15" hidden="1">{"'gráf jan00'!$A$1:$AK$41"}</definedName>
    <definedName name="FFVP16" hidden="1">{"'gráf jan00'!$A$1:$AK$41"}</definedName>
    <definedName name="FFVP2" hidden="1">{"'gráf jan00'!$A$1:$AK$41"}</definedName>
    <definedName name="FFVP3" hidden="1">{"'gráf jan00'!$A$1:$AK$41"}</definedName>
    <definedName name="FFVP4" hidden="1">{"'gráf jan00'!$A$1:$AK$41"}</definedName>
    <definedName name="ffvp43" hidden="1">{"'gráf jan00'!$A$1:$AK$41"}</definedName>
    <definedName name="FFVP5" hidden="1">{"'gráf jan00'!$A$1:$AK$41"}</definedName>
    <definedName name="FFVP6" hidden="1">{"'gráf jan00'!$A$1:$AK$41"}</definedName>
    <definedName name="FFVP7" hidden="1">{"'gráf jan00'!$A$1:$AK$41"}</definedName>
    <definedName name="FFVP8" hidden="1">{"'gráf jan00'!$A$1:$AK$41"}</definedName>
    <definedName name="FFVP9" hidden="1">{"'gráf jan00'!$A$1:$AK$41"}</definedName>
    <definedName name="fgs" hidden="1">{"'gráf jan00'!$A$1:$AK$41"}</definedName>
    <definedName name="FHDZ" hidden="1">{"'gráf jan00'!$A$1:$AK$41"}</definedName>
    <definedName name="FirstColumn">#REF!</definedName>
    <definedName name="FirstMonth">#REF!</definedName>
    <definedName name="Fisicos">#REF!</definedName>
    <definedName name="FJASLJFIL" hidden="1">{"'gráf jan00'!$A$1:$AK$41"}</definedName>
    <definedName name="fjrjrjrt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luxograma">#REF!</definedName>
    <definedName name="fluxograma2">#REF!</definedName>
    <definedName name="FolResumoFlorestas" hidden="1">{"'REL CUSTODIF'!$B$1:$H$72"}</definedName>
    <definedName name="Forma1">#REF!</definedName>
    <definedName name="Forma2">#REF!</definedName>
    <definedName name="Forma3">#REF!</definedName>
    <definedName name="forma4">#REF!</definedName>
    <definedName name="formacao_carga">#REF!</definedName>
    <definedName name="FRWAESR" hidden="1">{"'Quadro'!$A$4:$BG$78"}</definedName>
    <definedName name="FSA" hidden="1">{"'Quadro'!$A$4:$BG$78"}</definedName>
    <definedName name="fsadfasd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fsd" hidden="1">{"'gráf jan00'!$A$1:$AK$41"}</definedName>
    <definedName name="FSDF" hidden="1">{"'Quadro'!$A$4:$BG$78"}</definedName>
    <definedName name="fsdg">#REF!</definedName>
    <definedName name="FSDS" hidden="1">{"'gráf jan00'!$A$1:$AK$41"}</definedName>
    <definedName name="ftherhwertywer">#REF!</definedName>
    <definedName name="FTU" hidden="1">{"'Quadro'!$A$4:$BG$78"}</definedName>
    <definedName name="G" hidden="1">{"'gráf jan00'!$A$1:$AK$41"}</definedName>
    <definedName name="G_Geral">#REF!</definedName>
    <definedName name="GABIN5201100">#REF!</definedName>
    <definedName name="GAEOG5200100">#REF!</definedName>
    <definedName name="GAEOG5201100">#REF!</definedName>
    <definedName name="Ganhos_intangiveis">#REF!</definedName>
    <definedName name="Ganhos_Tangiveis">#REF!</definedName>
    <definedName name="GAOTG5201100">#REF!</definedName>
    <definedName name="GAPEG5200100">#REF!</definedName>
    <definedName name="GAPEG5201100">#REF!</definedName>
    <definedName name="GAPEG5202100">#REF!</definedName>
    <definedName name="GAPEG5202900">#REF!</definedName>
    <definedName name="GAPEG5213100">#REF!</definedName>
    <definedName name="GAPEG5213200">#REF!</definedName>
    <definedName name="GAPEG5213300">#REF!</definedName>
    <definedName name="GAPMG5200100">#REF!</definedName>
    <definedName name="GAPMG5201100">#REF!</definedName>
    <definedName name="GAPMG5202900">#REF!</definedName>
    <definedName name="GAPMG5742900">#REF!</definedName>
    <definedName name="GASEG" hidden="1">{"'Quadro'!$A$4:$BG$78"}</definedName>
    <definedName name="GASEG5200100">#REF!</definedName>
    <definedName name="GASEG5201100">#REF!</definedName>
    <definedName name="GASEG5202100">#REF!</definedName>
    <definedName name="GASEG5202900">#REF!</definedName>
    <definedName name="GASEG5203900">#REF!</definedName>
    <definedName name="GASEG5205200">#REF!</definedName>
    <definedName name="GASEG5205900">#REF!</definedName>
    <definedName name="GASEG5213100">#REF!</definedName>
    <definedName name="GASEG5213200">#REF!</definedName>
    <definedName name="GASEG5213300">#REF!</definedName>
    <definedName name="GATEG5201100">#REF!</definedName>
    <definedName name="gavag">#REF!,#REF!,#REF!,#REF!,#REF!</definedName>
    <definedName name="GAVPG5200100">#REF!</definedName>
    <definedName name="GAVPG5201100">#REF!</definedName>
    <definedName name="GAVPG5202900">#REF!</definedName>
    <definedName name="GAVPG5203900">#REF!</definedName>
    <definedName name="GAVPG5205200">#REF!</definedName>
    <definedName name="GAVPG5205900">#REF!</definedName>
    <definedName name="GAVTG" hidden="1">{"'gráf jan00'!$A$1:$AK$41"}</definedName>
    <definedName name="gdfg" hidden="1">{"'gráf jan00'!$A$1:$AK$41"}</definedName>
    <definedName name="GDS" hidden="1">{"'Quadro'!$A$4:$BG$78"}</definedName>
    <definedName name="GE">#REF!</definedName>
    <definedName name="Gemop" hidden="1">{#N/A,#N/A,TRUE,"indice";#N/A,#N/A,TRUE,"indicadores";#N/A,#N/A,TRUE,"comentarios"}</definedName>
    <definedName name="geral">#REF!,#REF!,#REF!,#REF!,#REF!</definedName>
    <definedName name="geral1">#REF!,#REF!,#REF!,#REF!</definedName>
    <definedName name="gergerg">#REF!</definedName>
    <definedName name="gestores">#REF!+#REF!</definedName>
    <definedName name="getep" hidden="1">{#N/A,#N/A,TRUE,"indice";#N/A,#N/A,TRUE,"indicadores";#N/A,#N/A,TRUE,"comentarios"}</definedName>
    <definedName name="GEVMG5200100">#REF!</definedName>
    <definedName name="GEVMG5201100">#REF!</definedName>
    <definedName name="GEVMG5202100">#REF!</definedName>
    <definedName name="GEVMG5202900">#REF!</definedName>
    <definedName name="GEVMG5203900">#REF!</definedName>
    <definedName name="GEVMG5205200">#REF!</definedName>
    <definedName name="GEVMG5205900">#REF!</definedName>
    <definedName name="GEVMG5213100">#REF!</definedName>
    <definedName name="GEVMG5213200">#REF!</definedName>
    <definedName name="GEVMG5213300">#REF!</definedName>
    <definedName name="GFD" hidden="1">{"'gráf jan00'!$A$1:$AK$41"}</definedName>
    <definedName name="gfsd">#REF!</definedName>
    <definedName name="gg">[0]!gg</definedName>
    <definedName name="GGG">[0]!GGG</definedName>
    <definedName name="GGGG">[0]!GGGG</definedName>
    <definedName name="ggtggg" hidden="1">{#N/A,#N/A,FALSE,"DEF1";#N/A,#N/A,FALSE,"DEF2";#N/A,#N/A,FALSE,"DEF3"}</definedName>
    <definedName name="GHJJKGK" hidden="1">{"'gráf jan00'!$A$1:$AK$41"}</definedName>
    <definedName name="giror">#REF!</definedName>
    <definedName name="GRAF_10A" hidden="1">{#N/A,#N/A,FALSE,"SITUAÇÃO DIÁRIA ";#N/A,#N/A,FALSE,"7 à 7"}</definedName>
    <definedName name="GRAF_11A" hidden="1">{#N/A,#N/A,FALSE,"SITUAÇÃO DIÁRIA ";#N/A,#N/A,FALSE,"7 à 7"}</definedName>
    <definedName name="GRAF_12A" hidden="1">{#N/A,#N/A,FALSE,"SITUAÇÃO DIÁRIA ";#N/A,#N/A,FALSE,"7 à 7"}</definedName>
    <definedName name="GRAF_21" hidden="1">{#N/A,#N/A,FALSE,"SITUAÇÃO DIÁRIA ";#N/A,#N/A,FALSE,"7 à 7"}</definedName>
    <definedName name="graf_3" hidden="1">{#N/A,#N/A,FALSE,"SITUAÇÃO DIÁRIA ";#N/A,#N/A,FALSE,"7 à 7"}</definedName>
    <definedName name="grafespera">#REF!</definedName>
    <definedName name="Grafico">[0]!Grafico</definedName>
    <definedName name="gráficos" hidden="1">{"'gráf jan00'!$A$1:$AK$41"}</definedName>
    <definedName name="_xlnm.Recorder">#REF!</definedName>
    <definedName name="grtgert" hidden="1">{#N/A,#N/A,TRUE,"indice";#N/A,#N/A,TRUE,"indicadores";#N/A,#N/A,TRUE,"comentarios"}</definedName>
    <definedName name="GT">#REF!</definedName>
    <definedName name="Gupob01Real" hidden="1">{#N/A,#N/A,FALSE,"Suprimentos";#N/A,#N/A,FALSE,"Medicina e Segurança";#N/A,#N/A,FALSE,"Administração";#N/A,#N/A,FALSE,"Meio Ambiente";#N/A,#N/A,FALSE,"Operação (Mina)";#N/A,#N/A,FALSE,"Operação (Porto)"}</definedName>
    <definedName name="gvg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">#REF!</definedName>
    <definedName name="hbfghfg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enrique">#REF!</definedName>
    <definedName name="hfs" hidden="1">{"'gráf jan00'!$A$1:$AK$41"}</definedName>
    <definedName name="HGH" hidden="1">{"'gráf jan00'!$A$1:$AK$41"}</definedName>
    <definedName name="HGHJ" hidden="1">{"'Quadro'!$A$4:$BG$78"}</definedName>
    <definedName name="hgt">#N/A</definedName>
    <definedName name="hh">#REF!</definedName>
    <definedName name="hhgfgfg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hh">#REF!</definedName>
    <definedName name="HISPANOBRA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jlhl">#REF!</definedName>
    <definedName name="hlç" hidden="1">{"'Quadro'!$A$4:$BG$78"}</definedName>
    <definedName name="hrfgh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htmal_control3" hidden="1">{"'RR'!$A$2:$E$81"}</definedName>
    <definedName name="htmal_control4" hidden="1">{"'RR'!$A$2:$E$81"}</definedName>
    <definedName name="htmal_control5" hidden="1">{"'RR'!$A$2:$E$81"}</definedName>
    <definedName name="htmal_control6" hidden="1">{"'RR'!$A$2:$E$81"}</definedName>
    <definedName name="htmal_control7" hidden="1">{"'RR'!$A$2:$E$81"}</definedName>
    <definedName name="htmal_control8" hidden="1">{"'RR'!$A$2:$E$81"}</definedName>
    <definedName name="HTML_CodePage" hidden="1">1252</definedName>
    <definedName name="HTML_Control" hidden="1">{"'RR'!$A$2:$E$81"}</definedName>
    <definedName name="html_control10" hidden="1">{"'RR'!$A$2:$E$81"}</definedName>
    <definedName name="html_control11" hidden="1">{"'RR'!$A$2:$E$81"}</definedName>
    <definedName name="html_control12" hidden="1">{"'RR'!$A$2:$E$81"}</definedName>
    <definedName name="html_control13" hidden="1">{"'RR'!$A$2:$E$81"}</definedName>
    <definedName name="html_control14" hidden="1">{"'RR'!$A$2:$E$81"}</definedName>
    <definedName name="html_control2" hidden="1">{"'RR'!$A$2:$E$81"}</definedName>
    <definedName name="HTML_CONTROL20" hidden="1">{"'RR'!$A$2:$E$81"}</definedName>
    <definedName name="HTML_CONTROL21" hidden="1">{"'RR'!$A$2:$E$81"}</definedName>
    <definedName name="HTML_Description" hidden="1">""</definedName>
    <definedName name="HTML_Email" hidden="1">""</definedName>
    <definedName name="HTML_Header" hidden="1">"RR"</definedName>
    <definedName name="HTML_LastUpdate" hidden="1">"11/10/99"</definedName>
    <definedName name="HTML_LineAfter" hidden="1">FALSE</definedName>
    <definedName name="HTML_LineBefore" hidden="1">FALSE</definedName>
    <definedName name="HTML_Name" hidden="1">"Departamento de Informática"</definedName>
    <definedName name="HTML_OBDlg2" hidden="1">TRUE</definedName>
    <definedName name="HTML_OBDlg4" hidden="1">TRUE</definedName>
    <definedName name="HTML_OS" hidden="1">0</definedName>
    <definedName name="HTML_PathFile" hidden="1">"C:\Intranet\Todos os Indicadores\MeuHTML.htm"</definedName>
    <definedName name="HTML_Title" hidden="1">"Regional 4 SET99"</definedName>
    <definedName name="HU" hidden="1">{"'gráf jan00'!$A$1:$AK$41"}</definedName>
    <definedName name="i">#REF!</definedName>
    <definedName name="ID_Empresa">#REF!</definedName>
    <definedName name="ID_Grupo">#REF!</definedName>
    <definedName name="ID_Propriedade">#REF!</definedName>
    <definedName name="ID_UGCCATDT">#REF!</definedName>
    <definedName name="ID_Versao">#REF!</definedName>
    <definedName name="Idadep_atual">"[\\Nre00070\c\Controle\Carrao\IDADEP_0204]LIBERADO!$D$4:$G$200"</definedName>
    <definedName name="IExeA">#REF!</definedName>
    <definedName name="IExeARl">#REF!</definedName>
    <definedName name="IExeAUS">#REF!</definedName>
    <definedName name="IExeMUS">#REF!</definedName>
    <definedName name="ii">#REF!</definedName>
    <definedName name="iii">#REF!</definedName>
    <definedName name="im">#REF!</definedName>
    <definedName name="imp">#REF!</definedName>
    <definedName name="ImpMdb">#REF!</definedName>
    <definedName name="Impressao">#REF!</definedName>
    <definedName name="Impressão">#REF!</definedName>
    <definedName name="Impressao2">#REF!</definedName>
    <definedName name="Imprimir">#REF!</definedName>
    <definedName name="inclusão_de_novos_campos">#REF!</definedName>
    <definedName name="Indicador_Desempenho">#REF!</definedName>
    <definedName name="Indice">#REF!</definedName>
    <definedName name="inspeções">#REF!</definedName>
    <definedName name="Intran" hidden="1">{"'teste'!$B$2:$R$49"}</definedName>
    <definedName name="INV_ECON_MENSAL" hidden="1">{#N/A,#N/A,FALSE,"DEF1";#N/A,#N/A,FALSE,"DEF2";#N/A,#N/A,FALSE,"DEF3"}</definedName>
    <definedName name="inv_financ_Mensal_desemb" hidden="1">{#N/A,#N/A,FALSE,"DEF1";#N/A,#N/A,FALSE,"DEF2";#N/A,#N/A,FALSE,"DEF3"}</definedName>
    <definedName name="InvChv">#REF!</definedName>
    <definedName name="InvChvUS">#REF!</definedName>
    <definedName name="Investimento_Ano_Anterior">#REF!</definedName>
    <definedName name="Investimento_Ano0">#REF!</definedName>
    <definedName name="Investimento_Ano1">#REF!</definedName>
    <definedName name="Investimento_Ano2">#REF!</definedName>
    <definedName name="Investimento_Ano3">#REF!</definedName>
    <definedName name="Investimento_Ano4">#REF!</definedName>
    <definedName name="Investimento_Ano5">#REF!</definedName>
    <definedName name="Investimento_Ano6">#REF!</definedName>
    <definedName name="Investimento_Total_RS">#REF!</definedName>
    <definedName name="Investimento_Total_US">#REF!</definedName>
    <definedName name="io">#REF!,#REF!,#REF!,#REF!,#REF!</definedName>
    <definedName name="IOrcA">#REF!</definedName>
    <definedName name="IOrcAUS">#REF!</definedName>
    <definedName name="IOrcMUS">#REF!</definedName>
    <definedName name="IPrjMUS">#REF!</definedName>
    <definedName name="IPrzAUS">#REF!</definedName>
    <definedName name="IS">#REF!</definedName>
    <definedName name="IUO" hidden="1">{"'Quadro'!$A$4:$BG$78"}</definedName>
    <definedName name="j">#REF!</definedName>
    <definedName name="JAJA">[0]!JAJA</definedName>
    <definedName name="jhfjg">#REF!</definedName>
    <definedName name="jj">#REF!</definedName>
    <definedName name="jjj">#REF!</definedName>
    <definedName name="jryhjtr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jun">[0]!jun</definedName>
    <definedName name="just">#REF!</definedName>
    <definedName name="Justificativa">#REF!</definedName>
    <definedName name="jythjt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">#REF!</definedName>
    <definedName name="khtykfh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iuy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kjhgjk" hidden="1">{"'gráf jan00'!$A$1:$AK$41"}</definedName>
    <definedName name="kjhl">#REF!</definedName>
    <definedName name="kk">#REF!</definedName>
    <definedName name="kkk">#REF!</definedName>
    <definedName name="L_ativid">#REF!</definedName>
    <definedName name="L_difn">#REF!</definedName>
    <definedName name="L_dilg">#REF!</definedName>
    <definedName name="L_dima">#REF!</definedName>
    <definedName name="L_dir">#REF!</definedName>
    <definedName name="L_lesão">#REF!</definedName>
    <definedName name="L_outros">#REF!</definedName>
    <definedName name="L_Pcorpo">#REF!</definedName>
    <definedName name="lab" hidden="1">{"'gráf jan00'!$A$1:$AK$41"}</definedName>
    <definedName name="LastColumn">#REF!</definedName>
    <definedName name="LastMonth">#REF!</definedName>
    <definedName name="leonardo" hidden="1">{"'gráf jan00'!$A$1:$AK$41"}</definedName>
    <definedName name="let" hidden="1">"Quadro Logistico Maio"</definedName>
    <definedName name="ley">#REF!</definedName>
    <definedName name="LinCT">INDIRECT("Menu!$m$2:$n$200")</definedName>
    <definedName name="linha">#REF!</definedName>
    <definedName name="LinhaFinal">#REF!</definedName>
    <definedName name="LinhaInicial">#REF!</definedName>
    <definedName name="LinhaPatio">#REF!</definedName>
    <definedName name="LinhasCerv">#REF!</definedName>
    <definedName name="LinhaSelecionada">#REF!</definedName>
    <definedName name="LinhasNanc">#REF!</definedName>
    <definedName name="LinPacote">INDIRECT("Menu!$l$2:$n$200")</definedName>
    <definedName name="ListaMeses">#REF!</definedName>
    <definedName name="livre">#REF!,#REF!,#REF!,#REF!</definedName>
    <definedName name="LKJ" hidden="1">{"'Quadro'!$A$4:$BG$78"}</definedName>
    <definedName name="ll">#REF!</definedName>
    <definedName name="lll">#REF!</definedName>
    <definedName name="lmlm">#REF!</definedName>
    <definedName name="lo">#REF!</definedName>
    <definedName name="LOCAL" hidden="1">{"'gráf jan00'!$A$1:$AK$41"}</definedName>
    <definedName name="localidades">#REF!</definedName>
    <definedName name="locosd">#REF!</definedName>
    <definedName name="lp">#REF!</definedName>
    <definedName name="LU" hidden="1">{"'gráf jan00'!$A$1:$AK$41"}</definedName>
    <definedName name="luciano">#REF!</definedName>
    <definedName name="m">[0]!m</definedName>
    <definedName name="Macro1">#REF!</definedName>
    <definedName name="macro100">[0]!macro100</definedName>
    <definedName name="macro1002">[0]!macro1002</definedName>
    <definedName name="macro1111">[0]!macro1111</definedName>
    <definedName name="Macro13">#REF!</definedName>
    <definedName name="Macro14">#REF!</definedName>
    <definedName name="Macro15">#REF!</definedName>
    <definedName name="MACRO150">[0]!MACRO150</definedName>
    <definedName name="Macro16">#REF!</definedName>
    <definedName name="Macro17">#REF!</definedName>
    <definedName name="Macro18">#REF!</definedName>
    <definedName name="Macro19">#REF!</definedName>
    <definedName name="Macro2">#REF!</definedName>
    <definedName name="Macro20">#REF!</definedName>
    <definedName name="MACRO200">[0]!MACRO200</definedName>
    <definedName name="Macro21">#REF!</definedName>
    <definedName name="Macro22">#REF!</definedName>
    <definedName name="Macro23">#REF!</definedName>
    <definedName name="Macro24">#REF!</definedName>
    <definedName name="macro25">[0]!macro25</definedName>
    <definedName name="Macro26">#REF!</definedName>
    <definedName name="Macro27">#N/A</definedName>
    <definedName name="Macro28">#REF!</definedName>
    <definedName name="MACRO29">#REF!</definedName>
    <definedName name="Macro3">#REF!</definedName>
    <definedName name="Macro30">#N/A</definedName>
    <definedName name="Macro32">#REF!</definedName>
    <definedName name="Macro33">#REF!</definedName>
    <definedName name="Macro34">#REF!</definedName>
    <definedName name="Macro35">#REF!</definedName>
    <definedName name="Macro37">#REF!</definedName>
    <definedName name="Macro38">#REF!</definedName>
    <definedName name="Macro39">#REF!</definedName>
    <definedName name="Macro4">[0]!Macro4</definedName>
    <definedName name="Macro40">#REF!</definedName>
    <definedName name="Macro41">#REF!</definedName>
    <definedName name="Macro43">#REF!</definedName>
    <definedName name="Macro44">#REF!</definedName>
    <definedName name="MACRO45">#REF!</definedName>
    <definedName name="Macro46">#REF!</definedName>
    <definedName name="Macro47">#REF!</definedName>
    <definedName name="Macro48">#REF!</definedName>
    <definedName name="Macro49">#REF!</definedName>
    <definedName name="Macro5">[0]!Macro5</definedName>
    <definedName name="Macro50">#REF!</definedName>
    <definedName name="Macro51">#REF!</definedName>
    <definedName name="Macro52">#REF!</definedName>
    <definedName name="Macro53">#REF!</definedName>
    <definedName name="Macro54">#REF!</definedName>
    <definedName name="MACRO55">#REF!</definedName>
    <definedName name="Macro56">#REF!</definedName>
    <definedName name="Macro57">#REF!</definedName>
    <definedName name="Macro6">#REF!</definedName>
    <definedName name="Macro63">#REF!</definedName>
    <definedName name="MACRO65">#REF!</definedName>
    <definedName name="Macro7">#REF!</definedName>
    <definedName name="Macro70">#REF!</definedName>
    <definedName name="Macro71">#REF!</definedName>
    <definedName name="Macro72">#REF!</definedName>
    <definedName name="Macro73">#REF!</definedName>
    <definedName name="Macro74">#REF!</definedName>
    <definedName name="Macro75">#REF!</definedName>
    <definedName name="Macro76">#REF!</definedName>
    <definedName name="Macro77">#REF!</definedName>
    <definedName name="Macro78">#REF!</definedName>
    <definedName name="Macro79">#REF!</definedName>
    <definedName name="Macro80">#REF!</definedName>
    <definedName name="MACRO85">#REF!</definedName>
    <definedName name="MACRO95">#REF!</definedName>
    <definedName name="man" hidden="1">{"'gráf jan00'!$A$1:$AK$41"}</definedName>
    <definedName name="manut" hidden="1">{"'gráf jan00'!$A$1:$AK$41"}</definedName>
    <definedName name="marcelo" hidden="1">{"'gráf jan00'!$A$1:$AK$41"}</definedName>
    <definedName name="MARIA" hidden="1">{"'gráf jan00'!$A$1:$AK$41"}</definedName>
    <definedName name="máximor">#REF!</definedName>
    <definedName name="MCDT">#REF!</definedName>
    <definedName name="MChv">#REF!</definedName>
    <definedName name="MElmExeAA">#REF!</definedName>
    <definedName name="MElmPExeAC">#REF!</definedName>
    <definedName name="MemoriaGACCG" hidden="1">{"'Quadro'!$A$4:$BG$78"}</definedName>
    <definedName name="Mensal">#REF!</definedName>
    <definedName name="mercia" hidden="1">{"'REL CUSTODIF'!$B$1:$H$72"}</definedName>
    <definedName name="MES">#REF!</definedName>
    <definedName name="Mês">#REF!</definedName>
    <definedName name="Mesant">#REF!</definedName>
    <definedName name="MesCalc">#REF!</definedName>
    <definedName name="Meses">#REF!</definedName>
    <definedName name="MesNegociado">#REF!</definedName>
    <definedName name="METAS">#REF!,#REF!,#REF!,#REF!,#REF!,#REF!,#REF!,#REF!,#REF!,#REF!,#REF!,#REF!,#REF!,#REF!,#REF!,#REF!,#REF!,#REF!</definedName>
    <definedName name="metasantigas" hidden="1">{"'gráf jan00'!$A$1:$AK$41"}</definedName>
    <definedName name="MetasCerveja">#REF!</definedName>
    <definedName name="MetasNanc">#REF!</definedName>
    <definedName name="MMChv">#REF!</definedName>
    <definedName name="MMM">[0]!MMM</definedName>
    <definedName name="MMMM">[0]!MMMM</definedName>
    <definedName name="MOA" hidden="1">{#N/A,#N/A,FALSE,"DEF1";#N/A,#N/A,FALSE,"DEF2";#N/A,#N/A,FALSE,"DEF3"}</definedName>
    <definedName name="MODELO" hidden="1">{#N/A,#N/A,FALSE,"SITUAÇÃO DIÁRIA ";#N/A,#N/A,FALSE,"7 à 7"}</definedName>
    <definedName name="MODERNIZAÇÃO_DO_HUMP_YARD">#REF!</definedName>
    <definedName name="Módulo1.Macro1">#REF!</definedName>
    <definedName name="Módulo1.Macro2">#REF!</definedName>
    <definedName name="Módulo1.Macro3">#REF!</definedName>
    <definedName name="Módulo1.Macro4">#REF!</definedName>
    <definedName name="Módulo1.Macro5">#REF!</definedName>
    <definedName name="Módulo1.Macro6">#REF!</definedName>
    <definedName name="Moeda">#REF!</definedName>
    <definedName name="Muda_Cor">#REF!</definedName>
    <definedName name="Muda_Cor2">#REF!</definedName>
    <definedName name="MULHRT" hidden="1">{"'gráf jan00'!$A$1:$AK$41"}</definedName>
    <definedName name="MVChv">#REF!</definedName>
    <definedName name="MX">#REF!</definedName>
    <definedName name="n">#REF!</definedName>
    <definedName name="N.Ferrosos" hidden="1">{"'CptDifn'!$AA$32:$AG$32"}</definedName>
    <definedName name="NAO">#REF!</definedName>
    <definedName name="Não">#REF!</definedName>
    <definedName name="navios">#REF!</definedName>
    <definedName name="negócio" hidden="1">{"'gráf jan00'!$A$1:$AK$41"}</definedName>
    <definedName name="Nível">#REF!</definedName>
    <definedName name="nnln">#REF!</definedName>
    <definedName name="nnn">#REF!</definedName>
    <definedName name="Nome">#REF!</definedName>
    <definedName name="NomeCam">#REF!</definedName>
    <definedName name="NomeVer">#REF!</definedName>
    <definedName name="Novas">[0]!Novas</definedName>
    <definedName name="NvsASD">"V2001-12-31"</definedName>
    <definedName name="NvsAutoDrillOk">"VN"</definedName>
    <definedName name="NvsElapsedTime">0.00128807870351011</definedName>
    <definedName name="NvsEndTime">36969.4292877315</definedName>
    <definedName name="NvsInstSpec">"%,FBU_FILIAL,TENTIDADES,NTMA"</definedName>
    <definedName name="NvsLayoutType">"M3"</definedName>
    <definedName name="NvsPanelEffdt">"V1990-01-01"</definedName>
    <definedName name="NvsPanelSetid">"VMODEL"</definedName>
    <definedName name="NvsReqBU">"VTEL"</definedName>
    <definedName name="NvsReqBUOnly">"VN"</definedName>
    <definedName name="NvsTransLed">"VN"</definedName>
    <definedName name="NvsTreeASD">"V2050-01-01"</definedName>
    <definedName name="NvsValTbl.BUSINESS_UNIT">"BUS_UNIT_TBL_GL"</definedName>
    <definedName name="o">#REF!</definedName>
    <definedName name="oacuat">#REF!</definedName>
    <definedName name="Ob">#REF!</definedName>
    <definedName name="Objetivo">#REF!</definedName>
    <definedName name="Objeto">#REF!</definedName>
    <definedName name="Obras2">[0]!Obras2</definedName>
    <definedName name="oCRNatDt">#REF!</definedName>
    <definedName name="OD">#REF!</definedName>
    <definedName name="ogasrl">#REF!</definedName>
    <definedName name="ogasus">#REF!</definedName>
    <definedName name="oi">#N/A</definedName>
    <definedName name="oKey">#REF!</definedName>
    <definedName name="omesat">#REF!</definedName>
    <definedName name="oo">#REF!</definedName>
    <definedName name="ooo">#REF!</definedName>
    <definedName name="Opção">#REF!</definedName>
    <definedName name="OperGerrot">#REF!</definedName>
    <definedName name="oprdacu">#REF!</definedName>
    <definedName name="oprdchv">#REF!</definedName>
    <definedName name="oprdmes">#REF!</definedName>
    <definedName name="Orc_cons">#REF!</definedName>
    <definedName name="orcAcum">#REF!</definedName>
    <definedName name="orcAno">#REF!</definedName>
    <definedName name="orcMes">#REF!</definedName>
    <definedName name="orcPlu">#REF!</definedName>
    <definedName name="OrdenarFábrica">#REF!</definedName>
    <definedName name="OrdenarÍndices">#REF!</definedName>
    <definedName name="OrdenarMelhores">#REF!</definedName>
    <definedName name="oResacu">#REF!</definedName>
    <definedName name="oResmes">#REF!</definedName>
    <definedName name="oResmesrl">#REF!</definedName>
    <definedName name="Origem">#REF!</definedName>
    <definedName name="OUTUBRO" hidden="1">{#N/A,#N/A,FALSE,"SITUAÇÃO DIÁRIA ";#N/A,#N/A,FALSE,"7 à 7"}</definedName>
    <definedName name="oValAno">#REF!</definedName>
    <definedName name="oValchv">#REF!</definedName>
    <definedName name="oValmes">#REF!</definedName>
    <definedName name="oValmesrl">#REF!</definedName>
    <definedName name="oValor">#REF!</definedName>
    <definedName name="oVmes">#REF!</definedName>
    <definedName name="oVolacu">#REF!</definedName>
    <definedName name="oVolAno">#REF!</definedName>
    <definedName name="oVolchv">#REF!</definedName>
    <definedName name="OVOLFAT">#REF!</definedName>
    <definedName name="oVolmes">#REF!</definedName>
    <definedName name="P" hidden="1">{"'gráf jan00'!$A$1:$AK$41"}</definedName>
    <definedName name="P_AJT_US">#REF!</definedName>
    <definedName name="P_CAF_US">#REF!</definedName>
    <definedName name="P_CI_US">#REF!</definedName>
    <definedName name="P_CPVCASH_US">#REF!</definedName>
    <definedName name="P_DA_US">#REF!</definedName>
    <definedName name="P_DC_US">#REF!</definedName>
    <definedName name="P_HM_US">#REF!</definedName>
    <definedName name="P_RL_US">#REF!</definedName>
    <definedName name="P1513837748">#REF!</definedName>
    <definedName name="pa">[0]!pa</definedName>
    <definedName name="pa_dir">#REF!</definedName>
    <definedName name="PACOTE">#REF!</definedName>
    <definedName name="pAD">#REF!</definedName>
    <definedName name="pAJT">#REF!</definedName>
    <definedName name="pata" hidden="1">{#N/A,#N/A,FALSE,"SITUAÇÃO DIÁRIA ";#N/A,#N/A,FALSE,"7 à 7"}</definedName>
    <definedName name="Payback">#REF!</definedName>
    <definedName name="PAZ.COM.N" hidden="1">{"'TelRDAV'!$A$1:$T$20"}</definedName>
    <definedName name="pCAF">#REF!</definedName>
    <definedName name="pcausacausaabril">#REF!</definedName>
    <definedName name="pcausasintoma">#REF!</definedName>
    <definedName name="pcc">#REF!</definedName>
    <definedName name="pCI">#REF!</definedName>
    <definedName name="pCPV">#REF!</definedName>
    <definedName name="pDC">#REF!</definedName>
    <definedName name="PDCA" hidden="1">{"'RR'!$A$2:$E$81"}</definedName>
    <definedName name="PED.PRIOD">#REF!</definedName>
    <definedName name="PercCorr">OFFSET(#REF!,,,COUNTA(#REF!),1)</definedName>
    <definedName name="PercData">OFFSET(#REF!,,,COUNTA(#REF!),1)</definedName>
    <definedName name="Percentual">OFFSET(#REF!,,,COUNTA(#REF!),1)</definedName>
    <definedName name="PercGrupo">OFFSET(#REF!,,,COUNTA(#REF!),1)</definedName>
    <definedName name="PercResp">OFFSET(#REF!,,,COUNTA(#REF!),1)</definedName>
    <definedName name="PercSegm">OFFSET(#REF!,,,COUNTA(#REF!),1)</definedName>
    <definedName name="PesquisaCerv">#REF!</definedName>
    <definedName name="PesquisaNanc">#REF!</definedName>
    <definedName name="Pessoal">#REF!</definedName>
    <definedName name="PEV" hidden="1">{"'Quadro'!$A$4:$BG$78"}</definedName>
    <definedName name="pfAnoProp">#REF!</definedName>
    <definedName name="pHM">#REF!</definedName>
    <definedName name="pla">#REF!</definedName>
    <definedName name="Planilha">#REF!</definedName>
    <definedName name="planilhanova">#REF!</definedName>
    <definedName name="plano">#REF!</definedName>
    <definedName name="PLANS">#REF!</definedName>
    <definedName name="PMChv">#REF!</definedName>
    <definedName name="PMVal">#REF!</definedName>
    <definedName name="pnow" hidden="1">{"'gráf jan00'!$A$1:$AK$41"}</definedName>
    <definedName name="pOD">#REF!</definedName>
    <definedName name="polestoque">#REF!</definedName>
    <definedName name="Portos1" hidden="1">{"'RR'!$A$2:$E$81"}</definedName>
    <definedName name="pp">#REF!</definedName>
    <definedName name="PPCHV">#REF!</definedName>
    <definedName name="ppp">#REF!</definedName>
    <definedName name="pppppp">#REF!</definedName>
    <definedName name="PPRA" hidden="1">{"'CptDifn'!$AA$32:$AG$32"}</definedName>
    <definedName name="pRC">#REF!</definedName>
    <definedName name="PReal">#REF!</definedName>
    <definedName name="Print_Area">#REF!</definedName>
    <definedName name="Print_Area_MI">#REF!</definedName>
    <definedName name="Prioridade">#REF!</definedName>
    <definedName name="Prioridade2">#REF!</definedName>
    <definedName name="ProdutoSelecionado">#REF!</definedName>
    <definedName name="Prog.Excel._Set" hidden="1">{"'teste'!$B$2:$R$49"}</definedName>
    <definedName name="Projeto">#REF!</definedName>
    <definedName name="proposta" hidden="1">{"'Quadro'!$A$4:$BG$78"}</definedName>
    <definedName name="PUChv">#REF!</definedName>
    <definedName name="pValchv">#REF!</definedName>
    <definedName name="q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qe">#REF!</definedName>
    <definedName name="QQ" hidden="1">{"'gráf jan00'!$A$1:$AK$41"}</definedName>
    <definedName name="qq.xls">#N/A</definedName>
    <definedName name="qqq">#REF!</definedName>
    <definedName name="QQQQ" hidden="1">{"'gráf jan00'!$A$1:$AK$41"}</definedName>
    <definedName name="qqqqqq" hidden="1">{"'gráf jan00'!$A$1:$AK$41"}</definedName>
    <definedName name="qqqsssddd">[0]!qqqsssddd</definedName>
    <definedName name="qualquer">#REF!</definedName>
    <definedName name="qualquer1">#REF!</definedName>
    <definedName name="QUQT" hidden="1">{"'gráf jan00'!$A$1:$AK$41"}</definedName>
    <definedName name="QWE" hidden="1">{"'gráf jan00'!$A$1:$AK$41"}</definedName>
    <definedName name="RA" hidden="1">{"'Quadro'!$A$4:$BG$78"}</definedName>
    <definedName name="Ramal">#REF!</definedName>
    <definedName name="Rdorigo">#REF!</definedName>
    <definedName name="rds">#REF!</definedName>
    <definedName name="RDTEA" hidden="1">{"'Quadro'!$A$4:$BG$78"}</definedName>
    <definedName name="Re">[0]!Re</definedName>
    <definedName name="Reacurl">#REF!</definedName>
    <definedName name="Reacuus">#REF!</definedName>
    <definedName name="real">#REF!,#REF!,#REF!,#REF!,#REF!,#REF!,#REF!,#REF!,#REF!,#REF!,#REF!,#REF!,#REF!,#REF!,#REF!,#REF!,#REF!,#REF!,#REF!,#REF!</definedName>
    <definedName name="REAL1">#REF!,#REF!,#REF!,#REF!,#REF!,#REF!,#REF!,#REF!,#REF!,#REF!,#REF!,#REF!,#REF!</definedName>
    <definedName name="real2">#REF!,#REF!,#REF!,#REF!,#REF!,#REF!,#REF!,#REF!,#REF!,#REF!,#REF!,#REF!,#REF!,#REF!</definedName>
    <definedName name="REAL3">#REF!,#REF!,#REF!,#REF!,#REF!</definedName>
    <definedName name="REALIZADO1">OFFSET(#REF!,,,1,MATCH(#REF!,#REF!,1))</definedName>
    <definedName name="rec">#REF!</definedName>
    <definedName name="ReclamaçãoSelecionada">#REF!</definedName>
    <definedName name="ReclamaçõesCerveja">#REF!</definedName>
    <definedName name="ReclamaçõesNanc">#REF!</definedName>
    <definedName name="Recorder">#REF!</definedName>
    <definedName name="Recuperação_2012" hidden="1">{"'gráf jan00'!$A$1:$AK$41"}</definedName>
    <definedName name="Ref_Format">#REF!</definedName>
    <definedName name="Ref_Format_GA">#REF!</definedName>
    <definedName name="rek">#REF!</definedName>
    <definedName name="RelcaTipoAcum">#REF!</definedName>
    <definedName name="RelcaTipoMes">#REF!</definedName>
    <definedName name="RES" hidden="1">{"'Quadro'!$A$4:$BG$78"}</definedName>
    <definedName name="Resacurl">#REF!</definedName>
    <definedName name="Resacuus">#REF!</definedName>
    <definedName name="Responsavel">#REF!</definedName>
    <definedName name="RESUILTADO">#REF!</definedName>
    <definedName name="Resultado">OFFSET(#REF!,,,COUNTA(#REF!),1)</definedName>
    <definedName name="resumo_vagoes">#REF!</definedName>
    <definedName name="Resumo1" hidden="1">{"'teste'!$B$2:$R$49"}</definedName>
    <definedName name="RET" hidden="1">{"'Quadro'!$A$4:$BG$78"}</definedName>
    <definedName name="reuyre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RFTY" hidden="1">{"'Quadro'!$A$4:$BG$78"}</definedName>
    <definedName name="rg">#REF!</definedName>
    <definedName name="Risco">#REF!</definedName>
    <definedName name="RO">#REF!</definedName>
    <definedName name="Roce">#REF!</definedName>
    <definedName name="rodotrilho">[0]!rodotrilho</definedName>
    <definedName name="RotCorr">OFFSET(#REF!,,,COUNTA(#REF!),1)</definedName>
    <definedName name="RotData">OFFSET(#REF!,,,COUNTA(#REF!),1)</definedName>
    <definedName name="RotGrupo">OFFSET(#REF!,,,COUNTA(#REF!),1)</definedName>
    <definedName name="Rotina1">#REF!</definedName>
    <definedName name="RotResp">OFFSET(#REF!,,,COUNTA(#REF!),1)</definedName>
    <definedName name="RotSegm">OFFSET(#REF!,,,COUNTA(#REF!),1)</definedName>
    <definedName name="royalties_samarco">#REF!</definedName>
    <definedName name="rrr">#REF!</definedName>
    <definedName name="rtherth">#REF!</definedName>
    <definedName name="s" hidden="1">{"'Quadro'!$A$4:$BG$78"}</definedName>
    <definedName name="SAAF" hidden="1">{"'Quadro'!$A$4:$BG$78"}</definedName>
    <definedName name="Saída_Clique">#REF!</definedName>
    <definedName name="Saldo">#REF!</definedName>
    <definedName name="SAR" hidden="1">{"'Quadro'!$A$4:$BG$78"}</definedName>
    <definedName name="sargtwregwer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asasa" hidden="1">{"'gráf jan00'!$A$1:$AK$41"}</definedName>
    <definedName name="sasassasa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D">#REF!</definedName>
    <definedName name="SDFFDFDF" hidden="1">{"'gráf jan00'!$A$1:$AK$41"}</definedName>
    <definedName name="sds">#REF!</definedName>
    <definedName name="SE" hidden="1">{"'Quadro'!$A$4:$BG$78"}</definedName>
    <definedName name="SearchDB">#REF!</definedName>
    <definedName name="separator">#REF!</definedName>
    <definedName name="SER" hidden="1">{"'Quadro'!$A$4:$BG$78"}</definedName>
    <definedName name="SF" hidden="1">{"'Quadro'!$A$4:$BG$78"}</definedName>
    <definedName name="SFD" hidden="1">{"'Quadro'!$A$4:$BG$78"}</definedName>
    <definedName name="SFR" hidden="1">{"'Quadro'!$A$4:$BG$78"}</definedName>
    <definedName name="Sigla">#REF!</definedName>
    <definedName name="SINALIZAÇÃO_DA_PN_TPD___TPS">#REF!</definedName>
    <definedName name="Sispec">#REF!</definedName>
    <definedName name="Sispec00">#REF!</definedName>
    <definedName name="Sispec98">#REF!</definedName>
    <definedName name="Sispec99">#REF!</definedName>
    <definedName name="SispecPSAP">#REF!</definedName>
    <definedName name="Situação_dos_Armazéns_de_Grãos">#REF!</definedName>
    <definedName name="SQUANT">#REF!</definedName>
    <definedName name="ss">#REF!</definedName>
    <definedName name="SSDF" hidden="1">{"'Quadro'!$A$4:$BG$78"}</definedName>
    <definedName name="SSO">#REF!</definedName>
    <definedName name="SSS">[0]!SSS</definedName>
    <definedName name="ssss.xls">[0]!ssss.xls</definedName>
    <definedName name="sssss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ssssssfsef">#REF!</definedName>
    <definedName name="sssssss">#REF!</definedName>
    <definedName name="SVLDOL">#REF!</definedName>
    <definedName name="SVLREAL">#REF!</definedName>
    <definedName name="SWE" hidden="1">{"'Quadro'!$A$4:$BG$78"}</definedName>
    <definedName name="SWR" hidden="1">{"'Quadro'!$A$4:$BG$78"}</definedName>
    <definedName name="t">#REF!</definedName>
    <definedName name="TabEmp">#REF!</definedName>
    <definedName name="TabImport">#REF!</definedName>
    <definedName name="TableName">"Dummy"</definedName>
    <definedName name="TabPer">#REF!</definedName>
    <definedName name="TabUF">#REF!</definedName>
    <definedName name="tbt">#REF!,#REF!,#REF!,#REF!</definedName>
    <definedName name="telaA">#REF!</definedName>
    <definedName name="telaC">#REF!</definedName>
    <definedName name="tempo">#REF!</definedName>
    <definedName name="tempor1">#REF!</definedName>
    <definedName name="Terc_nov">#REF!</definedName>
    <definedName name="Teste">[0]!Teste</definedName>
    <definedName name="teste2">#REF!</definedName>
    <definedName name="TextRefCopyRangeCount" hidden="1">1</definedName>
    <definedName name="tha">#REF!</definedName>
    <definedName name="THR" hidden="1">{"'gráf jan00'!$A$1:$AK$41"}</definedName>
    <definedName name="THTRHT" hidden="1">{"'gráf jan00'!$A$1:$AK$41"}</definedName>
    <definedName name="Tipo">#REF!</definedName>
    <definedName name="tipoj">#REF!</definedName>
    <definedName name="tipojj">#REF!</definedName>
    <definedName name="tipojjj">#REF!</definedName>
    <definedName name="Tipos">#REF!</definedName>
    <definedName name="TipoV">#REF!</definedName>
    <definedName name="TIR">#REF!</definedName>
    <definedName name="TÍTULO">#REF!</definedName>
    <definedName name="tjtr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odas_as_pendencias">#REF!</definedName>
    <definedName name="TODAS_AS_PLANILHAS">#REF!</definedName>
    <definedName name="Tool">#REF!</definedName>
    <definedName name="TOT">#REF!</definedName>
    <definedName name="TotCorr">OFFSET(#REF!,,,COUNTA(#REF!),1)</definedName>
    <definedName name="TotData">OFFSET(#REF!,,,COUNTA(#REF!),1)</definedName>
    <definedName name="TotGrupo">OFFSET(#REF!,,,COUNTA(#REF!),1)</definedName>
    <definedName name="TotResp">OFFSET(#REF!,,,COUNTA(#REF!),1)</definedName>
    <definedName name="TotSegm">OFFSET(#REF!,,,COUNTA(#REF!),1)</definedName>
    <definedName name="TP">#REF!</definedName>
    <definedName name="TPT">#REF!</definedName>
    <definedName name="tran" hidden="1">{"'Quadro'!$A$4:$BG$78"}</definedName>
    <definedName name="Transacao">#REF!</definedName>
    <definedName name="trem" hidden="1">{"'gráf jan00'!$A$1:$AK$41"}</definedName>
    <definedName name="trem22">#REF!</definedName>
    <definedName name="trens">#REF!,#REF!,#REF!,#REF!</definedName>
    <definedName name="trezeabril" hidden="1">{"'gráf jan00'!$A$1:$AK$41"}</definedName>
    <definedName name="TREZEABRILL" hidden="1">{"'gráf jan00'!$A$1:$AK$41"}</definedName>
    <definedName name="trezeagosto" hidden="1">{"'gráf jan00'!$A$1:$AK$41"}</definedName>
    <definedName name="trezeagosto2" hidden="1">{"'gráf jan00'!$A$1:$AK$41"}</definedName>
    <definedName name="trezeagosto3" hidden="1">{"'gráf jan00'!$A$1:$AK$41"}</definedName>
    <definedName name="trezeagosto4" hidden="1">{"'gráf jan00'!$A$1:$AK$41"}</definedName>
    <definedName name="trezeagosto5" hidden="1">{"'gráf jan00'!$A$1:$AK$41"}</definedName>
    <definedName name="trezeagosto6" hidden="1">{"'gráf jan00'!$A$1:$AK$41"}</definedName>
    <definedName name="trezeagosto7" hidden="1">{"'gráf jan00'!$A$1:$AK$41"}</definedName>
    <definedName name="trezeagosto8" hidden="1">{"'gráf jan00'!$A$1:$AK$41"}</definedName>
    <definedName name="trezejulho" hidden="1">{"'gráf jan00'!$A$1:$AK$41"}</definedName>
    <definedName name="trezejulho2" hidden="1">{"'gráf jan00'!$A$1:$AK$41"}</definedName>
    <definedName name="trezejulho3" hidden="1">{"'gráf jan00'!$A$1:$AK$41"}</definedName>
    <definedName name="trezejun" hidden="1">{"'gráf jan00'!$A$1:$AK$41"}</definedName>
    <definedName name="trezejunho" hidden="1">{"'gráf jan00'!$A$1:$AK$41"}</definedName>
    <definedName name="trezejunnho" hidden="1">{"'gráf jan00'!$A$1:$AK$41"}</definedName>
    <definedName name="trezemarço" hidden="1">{"'gráf jan00'!$A$1:$AK$41"}</definedName>
    <definedName name="TRYU" hidden="1">{"'Quadro'!$A$4:$BG$78"}</definedName>
    <definedName name="TT" hidden="1">{"'gráf jan00'!$A$1:$AK$41"}</definedName>
    <definedName name="TT_OP">#REF!</definedName>
    <definedName name="TT_OT">#REF!</definedName>
    <definedName name="TT_VP1">#REF!</definedName>
    <definedName name="TT_VP2">#REF!</definedName>
    <definedName name="TTER" hidden="1">{"'Quadro'!$A$4:$BG$78"}</definedName>
    <definedName name="TTT" hidden="1">{"'gráf jan00'!$A$1:$AK$41"}</definedName>
    <definedName name="TTTT" hidden="1">{"'gráf jan00'!$A$1:$AK$41"}</definedName>
    <definedName name="tyjtykj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TYU" hidden="1">{"'Quadro'!$A$4:$BG$78"}</definedName>
    <definedName name="U" hidden="1">{"'gráf jan00'!$A$1:$AK$41"}</definedName>
    <definedName name="ug">#REF!</definedName>
    <definedName name="UGCCATDT">#REF!</definedName>
    <definedName name="UltPart">#REF!</definedName>
    <definedName name="unid1">#REF!</definedName>
    <definedName name="unid10">#REF!</definedName>
    <definedName name="unid2">#REF!</definedName>
    <definedName name="unid3">#REF!</definedName>
    <definedName name="unid4">#REF!</definedName>
    <definedName name="unid5">#REF!</definedName>
    <definedName name="unid6">#REF!</definedName>
    <definedName name="unid7">#REF!</definedName>
    <definedName name="unid8">#REF!</definedName>
    <definedName name="unid9">#REF!</definedName>
    <definedName name="UnidadesCerveja">#REF!</definedName>
    <definedName name="UnidadesCerveja2">#REF!</definedName>
    <definedName name="UnidadeSelecionada">#REF!</definedName>
    <definedName name="UnidadesNanc">#REF!</definedName>
    <definedName name="UnidadesNanc2">#REF!</definedName>
    <definedName name="uoluyk" hidden="1">{#N/A,#N/A,TRUE,"indice";#N/A,#N/A,TRUE,"indicadores";#N/A,#N/A,TRUE,"comentarios"}</definedName>
    <definedName name="uu" hidden="1">{"'REL CUSTODIF'!$B$1:$H$72"}</definedName>
    <definedName name="uuu">#REF!</definedName>
    <definedName name="V_Orc">#REF!</definedName>
    <definedName name="V_Orc3">#REF!</definedName>
    <definedName name="V_Orcam">#REF!</definedName>
    <definedName name="V_Real">#REF!</definedName>
    <definedName name="ValAAn">#REF!</definedName>
    <definedName name="ValAAnrl">#REF!</definedName>
    <definedName name="ValAcu">#REF!</definedName>
    <definedName name="ValAcurl">#REF!</definedName>
    <definedName name="valBL">#REF!</definedName>
    <definedName name="Valchv">#REF!</definedName>
    <definedName name="Valchvrl">#REF!</definedName>
    <definedName name="ValMes">#REF!</definedName>
    <definedName name="ValMesrl">#REF!</definedName>
    <definedName name="ValMeta">INDIRECT("Menu!$B$11")</definedName>
    <definedName name="Valor">#REF!</definedName>
    <definedName name="ValorEmes">#REF!</definedName>
    <definedName name="ValReal">INDIRECT("Menu!$B$12")</definedName>
    <definedName name="ValRealDia">INDIRECT("Menu!$B$13")</definedName>
    <definedName name="valrl">#REF!</definedName>
    <definedName name="valus">#REF!</definedName>
    <definedName name="VAno1">#REF!</definedName>
    <definedName name="VAno1US">#REF!</definedName>
    <definedName name="VAno2">#REF!</definedName>
    <definedName name="VAno2US">#REF!</definedName>
    <definedName name="vaoi">[0]!vaoi</definedName>
    <definedName name="vbg">[0]!vbg</definedName>
    <definedName name="vCotacao">#REF!</definedName>
    <definedName name="VENDA">#REF!</definedName>
    <definedName name="VendaUD">#REF!</definedName>
    <definedName name="Verba">#REF!</definedName>
    <definedName name="verificar">#REF!</definedName>
    <definedName name="verificar2">#REF!</definedName>
    <definedName name="Vitor" hidden="1">{"'gráf jan00'!$A$1:$AK$41"}</definedName>
    <definedName name="vMCotacao">#REF!</definedName>
    <definedName name="Vol">#REF!</definedName>
    <definedName name="Volaan">#REF!</definedName>
    <definedName name="Volacu">#REF!</definedName>
    <definedName name="VolacuCC">#REF!</definedName>
    <definedName name="VolchvCC">#REF!</definedName>
    <definedName name="VolE">#REF!</definedName>
    <definedName name="VolEmes">#REF!</definedName>
    <definedName name="Volmes">#REF!</definedName>
    <definedName name="VolO">#REF!</definedName>
    <definedName name="Voltar">[0]!Voltar</definedName>
    <definedName name="Volume" hidden="1">{"'CptDifn'!$AA$32:$AG$32"}</definedName>
    <definedName name="VOrc">#REF!</definedName>
    <definedName name="VOrc1sem">#REF!</definedName>
    <definedName name="VOrc2sem">#REF!</definedName>
    <definedName name="VOrcAgo_Dez">#REF!</definedName>
    <definedName name="VOrcjul">#REF!</definedName>
    <definedName name="VOrcOrc">#REF!</definedName>
    <definedName name="VOrcUS">#REF!</definedName>
    <definedName name="VOrcUS1sem">#REF!</definedName>
    <definedName name="VOrcUS2sem">#REF!</definedName>
    <definedName name="VOrcUSAgo_Dez">#REF!</definedName>
    <definedName name="VOrcUSjul">#REF!</definedName>
    <definedName name="vp" hidden="1">{"'Quadro'!$A$4:$BG$78"}</definedName>
    <definedName name="vParid">#REF!</definedName>
    <definedName name="VPI">#REF!</definedName>
    <definedName name="VPL">#REF!</definedName>
    <definedName name="VReal">#REF!</definedName>
    <definedName name="VRealUS">#REF!</definedName>
    <definedName name="vVer1">#REF!</definedName>
    <definedName name="vVer1US">#REF!</definedName>
    <definedName name="vVer2">#REF!</definedName>
    <definedName name="vVer2US">#REF!</definedName>
    <definedName name="vvv">[0]!vvv</definedName>
    <definedName name="vxs" hidden="1">{"'RR'!$A$2:$E$81"}</definedName>
    <definedName name="w">#REF!</definedName>
    <definedName name="wacc">#REF!</definedName>
    <definedName name="wadfaw" hidden="1">{#N/A,#N/A,TRUE,"indice";#N/A,#N/A,TRUE,"indicadores";#N/A,#N/A,TRUE,"comentarios"}</definedName>
    <definedName name="WR" hidden="1">{"'Quadro'!$A$4:$BG$78"}</definedName>
    <definedName name="wrn.Aging._.and._.Trend._.Analysis." hidden="1">{#N/A,#N/A,FALSE,"Aging Summary";#N/A,#N/A,FALSE,"Ratio Analysis";#N/A,#N/A,FALSE,"Test 120 Day Accts";#N/A,#N/A,FALSE,"Tickmarks"}</definedName>
    <definedName name="wrn.def9806." hidden="1">{#N/A,#N/A,FALSE,"DEF1";#N/A,#N/A,FALSE,"DEF2";#N/A,#N/A,FALSE,"DEF3"}</definedName>
    <definedName name="wrn.INVESTIMENTOS._.CORRENTES." hidden="1">{#N/A,#N/A,FALSE,"Suprimentos";#N/A,#N/A,FALSE,"Medicina e Segurança";#N/A,#N/A,FALSE,"Administração";#N/A,#N/A,FALSE,"Meio Ambiente";#N/A,#N/A,FALSE,"Operação (Mina)";#N/A,#N/A,FALSE,"Operação (Porto)"}</definedName>
    <definedName name="wrn.Relatório._.Porto.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wrn.SITUAÇÃO._.DIÁRIA." hidden="1">{#N/A,#N/A,FALSE,"SITUAÇÃO DIÁRIA ";#N/A,#N/A,FALSE,"7 à 7"}</definedName>
    <definedName name="wrn.teste." hidden="1">{#N/A,#N/A,TRUE,"indice";#N/A,#N/A,TRUE,"indicadores";#N/A,#N/A,TRUE,"comentarios"}</definedName>
    <definedName name="ww">#REF!</definedName>
    <definedName name="www">#REF!</definedName>
    <definedName name="WWWWWWWWWW" hidden="1">{"'gráf jan00'!$A$1:$AK$41"}</definedName>
    <definedName name="x">#REF!</definedName>
    <definedName name="xaaxx" hidden="1">{#N/A,#N/A,TRUE,"indice";#N/A,#N/A,TRUE,"indicadores";#N/A,#N/A,TRUE,"comentarios";#N/A,#N/A,TRUE,"Receita";#N/A,#N/A,TRUE,"preço";#N/A,#N/A,TRUE,"Custo Unit Total";#N/A,#N/A,TRUE,"Custo Unit Minerio";#N/A,#N/A,TRUE,"Adm_Aux";#N/A,#N/A,TRUE,"Reaprop";#N/A,#N/A,TRUE,"Custo Unit TU";#N/A,#N/A,TRUE,"Custo Unit Paul";#N/A,#N/A,TRUE,"Custo Unit PM";#N/A,#N/A,TRUE,"Custo Unit TPD";#N/A,#N/A,TRUE,"Custo Unit GR";#N/A,#N/A,TRUE,"Custo Unit FE";#N/A,#N/A,TRUE,"Custo Unit Teus";#N/A,#N/A,TRUE,"Custo Unit CO Ton";#N/A,#N/A,TRUE,"Custo Unit OC";#N/A,#N/A,TRUE,"Margem";#N/A,#N/A,TRUE,"Prog Total";#N/A,#N/A,TRUE,"Prog Tubarão";#N/A,#N/A,TRUE,"Prog Praia mole";#N/A,#N/A,TRUE,"Prog  Paul";#N/A,#N/A,TRUE,"Prog TPD";#N/A,#N/A,TRUE,"Pessoal";#N/A,#N/A,TRUE,"Gastos";#N/A,#N/A,TRUE,"Gasto Área";#N/A,#N/A,TRUE,"Grafico de Gastos";#N/A,#N/A,TRUE,"Inv Corrente";#N/A,#N/A,TRUE,"Inv Capital"}</definedName>
    <definedName name="xcxcx" hidden="1">{"'gráf jan00'!$A$1:$AK$41"}</definedName>
    <definedName name="XDF" hidden="1">{"'Quadro'!$A$4:$BG$78"}</definedName>
    <definedName name="XGUIA">#REF!</definedName>
    <definedName name="XGUIAS">#REF!</definedName>
    <definedName name="XNIV">#REF!</definedName>
    <definedName name="XSAIDA">#REF!</definedName>
    <definedName name="xx">#REF!</definedName>
    <definedName name="xxx">#REF!</definedName>
    <definedName name="xxxx">#REF!</definedName>
    <definedName name="xxxxx">#REF!</definedName>
    <definedName name="xxxxxx">#REF!</definedName>
    <definedName name="YO" hidden="1">{"'Quadro'!$A$4:$BG$78"}</definedName>
    <definedName name="yy" hidden="1">{"'REL CUSTODIF'!$B$1:$H$72"}</definedName>
    <definedName name="yyy">#REF!</definedName>
    <definedName name="z">#REF!</definedName>
    <definedName name="Z_799FF90A_59EC_11D7_9495_0002B31BFBD5_.wvu.Cols" hidden="1">#REF!,#REF!</definedName>
    <definedName name="Z_799FF90A_59EC_11D7_9495_0002B31BFBD5_.wvu.Rows" hidden="1">#REF!,#REF!,#REF!,#REF!,#REF!,#REF!,#REF!,#REF!,#REF!,#REF!,#REF!,#REF!</definedName>
    <definedName name="za">#REF!</definedName>
    <definedName name="ZDA\DS" hidden="1">{"'gráf jan00'!$A$1:$AK$41"}</definedName>
    <definedName name="zgfd" hidden="1">{"'gráf jan00'!$A$1:$AK$41"}</definedName>
    <definedName name="ZZ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0" i="5" l="1"/>
  <c r="G19" i="5"/>
  <c r="G18" i="5"/>
  <c r="G17" i="5"/>
  <c r="G16" i="5"/>
  <c r="G15" i="5"/>
  <c r="G10" i="5"/>
  <c r="G9" i="5"/>
  <c r="G8" i="5"/>
  <c r="G7" i="5"/>
  <c r="G6" i="5"/>
  <c r="G5" i="5"/>
  <c r="G4" i="5"/>
</calcChain>
</file>

<file path=xl/sharedStrings.xml><?xml version="1.0" encoding="utf-8"?>
<sst xmlns="http://schemas.openxmlformats.org/spreadsheetml/2006/main" count="707" uniqueCount="180">
  <si>
    <t>OAE01</t>
  </si>
  <si>
    <t>OAE02</t>
  </si>
  <si>
    <t>OAE03</t>
  </si>
  <si>
    <t>OAE04</t>
  </si>
  <si>
    <t>OAE05</t>
  </si>
  <si>
    <t>OAE06</t>
  </si>
  <si>
    <t>OAE07</t>
  </si>
  <si>
    <t>OAE08</t>
  </si>
  <si>
    <t>OAE09</t>
  </si>
  <si>
    <t>OAE10</t>
  </si>
  <si>
    <t>OAE11</t>
  </si>
  <si>
    <t>OAE12</t>
  </si>
  <si>
    <t>OAE13</t>
  </si>
  <si>
    <t>OAE14</t>
  </si>
  <si>
    <t>OAE15</t>
  </si>
  <si>
    <t>OAE16</t>
  </si>
  <si>
    <t>OAE17</t>
  </si>
  <si>
    <t>OAE18</t>
  </si>
  <si>
    <t>OAE19</t>
  </si>
  <si>
    <t>OAE20</t>
  </si>
  <si>
    <t>OAE21</t>
  </si>
  <si>
    <t>OAE22</t>
  </si>
  <si>
    <t>OAE23</t>
  </si>
  <si>
    <t>Item</t>
  </si>
  <si>
    <t>Nome</t>
  </si>
  <si>
    <t>OAE24</t>
  </si>
  <si>
    <t>OAE25</t>
  </si>
  <si>
    <t>Comprimento</t>
  </si>
  <si>
    <t>Tipo de OAE</t>
  </si>
  <si>
    <t>Caracteristica</t>
  </si>
  <si>
    <t>Latitude</t>
  </si>
  <si>
    <t>Longitude</t>
  </si>
  <si>
    <t>Cidade</t>
  </si>
  <si>
    <t>RAAE</t>
  </si>
  <si>
    <t>CAA
CONCRETO</t>
  </si>
  <si>
    <t>CAA 
AÇO</t>
  </si>
  <si>
    <t>Qnt de Vãos</t>
  </si>
  <si>
    <t>Compri. do maior vão</t>
  </si>
  <si>
    <t>Altura max. do Pilar/Encontro</t>
  </si>
  <si>
    <t>Traçado</t>
  </si>
  <si>
    <t>Estaticidade</t>
  </si>
  <si>
    <t>Tabuleiro</t>
  </si>
  <si>
    <t>CONCRETO</t>
  </si>
  <si>
    <t>AÇO</t>
  </si>
  <si>
    <t>Data</t>
  </si>
  <si>
    <t>E</t>
  </si>
  <si>
    <t>D</t>
  </si>
  <si>
    <t>F</t>
  </si>
  <si>
    <t>Obs.</t>
  </si>
  <si>
    <t>Maniestação Patologica</t>
  </si>
  <si>
    <t>Armadura</t>
  </si>
  <si>
    <t>Deformação/Deslocamento</t>
  </si>
  <si>
    <t>Carbonatação</t>
  </si>
  <si>
    <t>Fissuração</t>
  </si>
  <si>
    <t>Segregação</t>
  </si>
  <si>
    <t>Calcinação</t>
  </si>
  <si>
    <t>Corrosão</t>
  </si>
  <si>
    <t>Fissuras</t>
  </si>
  <si>
    <t>Ligação</t>
  </si>
  <si>
    <t>Drenagem</t>
  </si>
  <si>
    <t>fissuras</t>
  </si>
  <si>
    <t>Recuperar/tratar pontos que apresentam fissuras transversais e inclinadas nas lajes internas e em balanço de todo o ativo, seguindo metodologia de tratamento adequada. / Recuperar todos os pontos com armadura exposta e corroida, bem como os locais com disgregação, insuficiência de cobrimento em toda mesoestrutura do ativo (P1,P2, P3,P4,P5,P6,P7,P8).</t>
  </si>
  <si>
    <t>Recuperar/realizar Tratamento das fissuras transversais e inclinadas das lajes, seguindo metodologias compatíveis, realizar tratamento em toda extensão do ativo na nas lajes internas e lajes em balanço.</t>
  </si>
  <si>
    <t xml:space="preserve">Recuperar Fissuras em elementos protendidos ( laje interna caixão metálico LS1/LS2 e lajes em balanço da estrutura), o local apresenta fissuras inclinadas e transversais. / Verificado na Superestrutura – Armadura exposta em processo evolutivo de corrosão, caracterização de durabilidade(2)conforme NBR9452. </t>
  </si>
  <si>
    <t>Segregação no concreto e dente gerber</t>
  </si>
  <si>
    <t xml:space="preserve">Funcional Guarda-corpo rompido ou inexistente. De acordo com o inspetor da obra, os guarda-corpos apresentam pontos de movimentação quando algum esforço é aplicado a eles, apresentando risco a colaboradores ou usuários. (1); 
Armadura exposta na meso e superestrutura com nota 2 de durabilidade.
</t>
  </si>
  <si>
    <t>armadura exposta laje e alcalis agregado no encontro</t>
  </si>
  <si>
    <t>PARAMETROS DE CONDIÇÃO - INSPEÇÃO ROTINEIRA</t>
  </si>
  <si>
    <t>PARAMETROS DE CONDIÇÃO - INSPEÇÃO ESPECIAL</t>
  </si>
  <si>
    <t>PARAMETROS FIXOS DE OAESs</t>
  </si>
  <si>
    <t>Armadura passiva principal exposta e corroída, com perda de seção acima de 20 % da área total de uma barra</t>
  </si>
  <si>
    <t>Fissuras nos elementos estruturais</t>
  </si>
  <si>
    <t>Armadura principal exposta em processo evolutivo de corrosão</t>
  </si>
  <si>
    <t>Fissuras em elementos de concreto armado com abertura superior aos limites previstos conforme ABNT-6118</t>
  </si>
  <si>
    <t>Corrosão localizada com perda de seção acima de 20%</t>
  </si>
  <si>
    <t>Armadura principal exposta e corroída, com perda de seção de até 20 % da área total de uma barra;</t>
  </si>
  <si>
    <t>Fissuras em elemento de concreto protendido</t>
  </si>
  <si>
    <t>Drenos inexistentes e/ou comprometidos no interior da viga caixão, ocasionando retenção de água no seu interior</t>
  </si>
  <si>
    <t>Dreno</t>
  </si>
  <si>
    <t>Guarda corpo de aço rompido ou inexistente, ao longo do desenvolvimento da travessia</t>
  </si>
  <si>
    <t>PONTE FERROVIARIA</t>
  </si>
  <si>
    <t>Serra-ES</t>
  </si>
  <si>
    <t>Muito Alto</t>
  </si>
  <si>
    <t>IV</t>
  </si>
  <si>
    <t>C5</t>
  </si>
  <si>
    <t>Tangente</t>
  </si>
  <si>
    <t>Isostático</t>
  </si>
  <si>
    <t>Simples</t>
  </si>
  <si>
    <t>TRELICA METALICA</t>
  </si>
  <si>
    <t>Aimorés-MG</t>
  </si>
  <si>
    <t>Médio</t>
  </si>
  <si>
    <t>II</t>
  </si>
  <si>
    <t>C3</t>
  </si>
  <si>
    <t>Conselheiro Pena-MG</t>
  </si>
  <si>
    <t>Baixo</t>
  </si>
  <si>
    <t>I</t>
  </si>
  <si>
    <t>C2</t>
  </si>
  <si>
    <t>Governador Valadares-MG</t>
  </si>
  <si>
    <t>Alto</t>
  </si>
  <si>
    <t>III</t>
  </si>
  <si>
    <t>PERFIL METALICO</t>
  </si>
  <si>
    <t>VIADUTO FERROVIARIO</t>
  </si>
  <si>
    <t>João Neiva-ES</t>
  </si>
  <si>
    <t>Hiperestático</t>
  </si>
  <si>
    <t>Aracruz-ES</t>
  </si>
  <si>
    <t>CAIXAO METALICO</t>
  </si>
  <si>
    <t>Caeté-MG</t>
  </si>
  <si>
    <t>Curva</t>
  </si>
  <si>
    <t>Sabará-MG</t>
  </si>
  <si>
    <t>Santa Bárbara-MG</t>
  </si>
  <si>
    <t>Barão de Cocais-MG</t>
  </si>
  <si>
    <t>Ouro Preto-MG</t>
  </si>
  <si>
    <t>Ouro Branco-MG</t>
  </si>
  <si>
    <t>C1</t>
  </si>
  <si>
    <t>Itabira-MG</t>
  </si>
  <si>
    <t>Duplo</t>
  </si>
  <si>
    <t>TUNEL</t>
  </si>
  <si>
    <t>REVESTIDO</t>
  </si>
  <si>
    <t>-</t>
  </si>
  <si>
    <t>CLASSE DE AGRESSIVIDADE AMBIENTAL PARA O CONCRETO</t>
  </si>
  <si>
    <t>CAA</t>
  </si>
  <si>
    <t>Agressividade</t>
  </si>
  <si>
    <t>Ambiente</t>
  </si>
  <si>
    <t>Risco de Deterioração</t>
  </si>
  <si>
    <t>Agente Principal</t>
  </si>
  <si>
    <t>Texto para o App</t>
  </si>
  <si>
    <t>Fraca</t>
  </si>
  <si>
    <t>Rural</t>
  </si>
  <si>
    <t>Insignificante</t>
  </si>
  <si>
    <t>CO2 (menor concentração)</t>
  </si>
  <si>
    <t>Submerso</t>
  </si>
  <si>
    <t>Moderada</t>
  </si>
  <si>
    <t>Urbano</t>
  </si>
  <si>
    <t>Pequeno</t>
  </si>
  <si>
    <t>CO2 (maior concentração)</t>
  </si>
  <si>
    <t>Forte</t>
  </si>
  <si>
    <t>Marinho</t>
  </si>
  <si>
    <t>Grande</t>
  </si>
  <si>
    <t>CL⁻ (menor concentração)</t>
  </si>
  <si>
    <t>Industrial</t>
  </si>
  <si>
    <t>Muito Forte</t>
  </si>
  <si>
    <t>Elevado</t>
  </si>
  <si>
    <t>CL⁻ (maior concentração), acídos e sulfatos</t>
  </si>
  <si>
    <t>V</t>
  </si>
  <si>
    <t>Extremo</t>
  </si>
  <si>
    <t>Respingos de Maré</t>
  </si>
  <si>
    <t>CLASSE DE AGRESSIVIDADE AMBIENTAL PARA O AÇO CARBONO</t>
  </si>
  <si>
    <t>Classificação</t>
  </si>
  <si>
    <t>Muito Baixa</t>
  </si>
  <si>
    <t>Estrutura não exposta em áreas de ambiente agressivo;
Com temperatura controlada onde não ocorre a condensação de umidade ar.</t>
  </si>
  <si>
    <t>Baixa</t>
  </si>
  <si>
    <t>Estrutura exposta a áreas rurais com baixa poluição atmosférica;
Com temperatura não controlada onde a condensação da umidade do ar pode ocorrer.</t>
  </si>
  <si>
    <t>Estrutura exposta em centros urbanos e/ou ambiente industriais com poluição moderada por dioxido de enxofre (SO2);
Regiões litorais com baixa salinidade;
Ambientes com alta umidade.</t>
  </si>
  <si>
    <t>C4</t>
  </si>
  <si>
    <t>Estrutura exposta em áreas industriais;
Regiões costeiras com moderada salinidade;
Plantas em que ocorrem processos químicos; 
Ambientes com alta umidade do ar localizados no litoral.</t>
  </si>
  <si>
    <t>Estrutura exposta em áreas industriais; 
Regiões costeiras com alta salinidade;
Ambientes com alta umidade do ar e/ou atmosfera agressiva localizados no litoral;
Ambientes altamente poluídos ou com condensação da umidade do ar permanente.</t>
  </si>
  <si>
    <t>CX</t>
  </si>
  <si>
    <t>Estrutura exposta em áreas marinhas; 
Estrutura exposta em áreas industriais com umidades do ar extremas e atmosfera agressiva (tropical e subtropical);
Regiões costeiras com alta salinidade.</t>
  </si>
  <si>
    <t>RISCO DE AGRESSIVIDADE AMBIENTAL EM ESTRUTURAS - RAAE</t>
  </si>
  <si>
    <t>CAA-V</t>
  </si>
  <si>
    <t>EXTREMO</t>
  </si>
  <si>
    <t>CAA-IV</t>
  </si>
  <si>
    <t>MUITO ALTO</t>
  </si>
  <si>
    <t>CAA-III</t>
  </si>
  <si>
    <t>ALTO</t>
  </si>
  <si>
    <t>CAA-II</t>
  </si>
  <si>
    <t>MÉDIO</t>
  </si>
  <si>
    <t>CAA-I</t>
  </si>
  <si>
    <t>BAIXO</t>
  </si>
  <si>
    <t>AÇO CARBONO</t>
  </si>
  <si>
    <t>Emergencial</t>
  </si>
  <si>
    <t>Crítico</t>
  </si>
  <si>
    <t>Ruím</t>
  </si>
  <si>
    <t>Regular</t>
  </si>
  <si>
    <t>Excelente</t>
  </si>
  <si>
    <t xml:space="preserve">Bom </t>
  </si>
  <si>
    <t>Guarda Corpo</t>
  </si>
  <si>
    <t>Parametro de Condição</t>
  </si>
  <si>
    <t>Ano de Construção</t>
  </si>
  <si>
    <t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</si>
</sst>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\ &quot;m&quot;"/>
    <numFmt numFmtId="165" formatCode="0.0000000"/>
    <numFmt numFmtId="166" formatCode="[$-416]yyyy;@"/>
    <numFmt numFmtId="167" formatCode="#,##0\ &quot;und.&quot;"/>
    <numFmt numFmtId="168" formatCode="dd/mm/yy;@"/>
  </numFmts>
  <fonts count="17">
    <font>
      <sz val="8"/>
      <color theme="1"/>
      <name val="Vale Sans"/>
      <family val="2"/>
    </font>
    <font>
      <sz val="11"/>
      <color theme="1"/>
      <name val="Aptos Narrow"/>
      <family val="2"/>
      <scheme val="minor"/>
    </font>
    <font>
      <sz val="8"/>
      <color theme="1"/>
      <name val="Vale Sans"/>
      <family val="2"/>
    </font>
    <font>
      <sz val="8"/>
      <color rgb="FFFF0000"/>
      <name val="Vale Sans"/>
      <family val="2"/>
    </font>
    <font>
      <sz val="8"/>
      <name val="Vale Sans"/>
      <family val="2"/>
    </font>
    <font>
      <b/>
      <sz val="10"/>
      <color theme="1"/>
      <name val="Vale Sans"/>
      <family val="2"/>
    </font>
    <font>
      <b/>
      <sz val="12"/>
      <color theme="1"/>
      <name val="Vale Sans"/>
      <family val="2"/>
    </font>
    <font>
      <b/>
      <sz val="10"/>
      <name val="Vale Sans"/>
      <family val="2"/>
    </font>
    <font>
      <sz val="18"/>
      <name val="Vale Sans"/>
      <family val="2"/>
    </font>
    <font>
      <b/>
      <sz val="12"/>
      <name val="Vale Sans"/>
      <family val="2"/>
    </font>
    <font>
      <b/>
      <sz val="12"/>
      <color theme="0"/>
      <name val="Vale Sans"/>
      <family val="2"/>
    </font>
    <font>
      <sz val="10"/>
      <color theme="1"/>
      <name val="Aptos Narrow"/>
      <family val="2"/>
      <scheme val="minor"/>
    </font>
    <font>
      <b/>
      <sz val="10"/>
      <color theme="0"/>
      <name val="Vale Sans"/>
      <family val="2"/>
    </font>
    <font>
      <sz val="10"/>
      <color theme="1"/>
      <name val="Vale Sans"/>
      <family val="2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indexed="64"/>
      </left>
      <right/>
      <top/>
      <bottom style="medium">
        <color auto="1"/>
      </bottom>
      <diagonal/>
    </border>
  </borders>
  <cellStyleXfs count="3">
    <xf numFmtId="0" fontId="0" fillId="0" borderId="0"/>
    <xf numFmtId="0" fontId="4" fillId="0" borderId="0"/>
    <xf numFmtId="0" fontId="1" fillId="0" borderId="0"/>
  </cellStyleXfs>
  <cellXfs count="144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4" fillId="0" borderId="9" xfId="0" applyNumberFormat="1" applyFont="1" applyBorder="1" applyAlignment="1">
      <alignment horizontal="center" vertical="center"/>
    </xf>
    <xf numFmtId="165" fontId="4" fillId="0" borderId="9" xfId="0" applyNumberFormat="1" applyFont="1" applyBorder="1" applyAlignment="1">
      <alignment horizontal="center" vertical="center"/>
    </xf>
    <xf numFmtId="166" fontId="2" fillId="0" borderId="9" xfId="0" applyNumberFormat="1" applyFont="1" applyBorder="1" applyAlignment="1">
      <alignment horizontal="center" vertical="center"/>
    </xf>
    <xf numFmtId="167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8" fontId="2" fillId="0" borderId="0" xfId="0" applyNumberFormat="1" applyFont="1" applyAlignment="1">
      <alignment horizontal="center" vertical="center"/>
    </xf>
    <xf numFmtId="0" fontId="2" fillId="0" borderId="0" xfId="0" applyFont="1"/>
    <xf numFmtId="0" fontId="4" fillId="2" borderId="13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7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0" xfId="0" applyFont="1" applyBorder="1"/>
    <xf numFmtId="168" fontId="4" fillId="0" borderId="0" xfId="1" applyNumberFormat="1" applyAlignment="1">
      <alignment horizontal="center"/>
    </xf>
    <xf numFmtId="3" fontId="4" fillId="0" borderId="0" xfId="1" applyNumberFormat="1" applyAlignment="1">
      <alignment horizontal="center"/>
    </xf>
    <xf numFmtId="3" fontId="4" fillId="0" borderId="1" xfId="1" applyNumberForma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3" fontId="4" fillId="0" borderId="9" xfId="1" applyNumberFormat="1" applyBorder="1" applyAlignment="1">
      <alignment horizontal="center"/>
    </xf>
    <xf numFmtId="0" fontId="2" fillId="0" borderId="10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3" fontId="4" fillId="0" borderId="19" xfId="1" applyNumberFormat="1" applyBorder="1" applyAlignment="1">
      <alignment horizontal="center"/>
    </xf>
    <xf numFmtId="0" fontId="2" fillId="0" borderId="19" xfId="0" applyFont="1" applyBorder="1"/>
    <xf numFmtId="0" fontId="2" fillId="0" borderId="20" xfId="0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164" fontId="4" fillId="0" borderId="23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4" fontId="4" fillId="0" borderId="22" xfId="0" applyNumberFormat="1" applyFont="1" applyBorder="1" applyAlignment="1">
      <alignment horizontal="center" vertical="center"/>
    </xf>
    <xf numFmtId="168" fontId="7" fillId="2" borderId="8" xfId="0" applyNumberFormat="1" applyFont="1" applyFill="1" applyBorder="1" applyAlignment="1">
      <alignment horizontal="center" vertical="center" wrapText="1"/>
    </xf>
    <xf numFmtId="168" fontId="4" fillId="0" borderId="18" xfId="1" applyNumberFormat="1" applyBorder="1" applyAlignment="1">
      <alignment horizontal="center"/>
    </xf>
    <xf numFmtId="0" fontId="2" fillId="0" borderId="20" xfId="0" applyFont="1" applyBorder="1" applyAlignment="1">
      <alignment horizontal="left" vertical="center"/>
    </xf>
    <xf numFmtId="168" fontId="4" fillId="0" borderId="6" xfId="1" applyNumberForma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168" fontId="4" fillId="0" borderId="8" xfId="1" applyNumberFormat="1" applyBorder="1" applyAlignment="1">
      <alignment horizontal="center"/>
    </xf>
    <xf numFmtId="0" fontId="2" fillId="0" borderId="10" xfId="0" applyFont="1" applyBorder="1" applyAlignment="1">
      <alignment horizontal="left" vertical="center"/>
    </xf>
    <xf numFmtId="168" fontId="2" fillId="0" borderId="18" xfId="0" applyNumberFormat="1" applyFont="1" applyBorder="1" applyAlignment="1">
      <alignment horizontal="center" vertical="center"/>
    </xf>
    <xf numFmtId="168" fontId="2" fillId="0" borderId="6" xfId="0" applyNumberFormat="1" applyFont="1" applyBorder="1" applyAlignment="1">
      <alignment horizontal="center" vertical="center"/>
    </xf>
    <xf numFmtId="168" fontId="2" fillId="0" borderId="8" xfId="0" applyNumberFormat="1" applyFont="1" applyBorder="1" applyAlignment="1">
      <alignment horizontal="center" vertical="center"/>
    </xf>
    <xf numFmtId="0" fontId="8" fillId="2" borderId="24" xfId="0" applyFont="1" applyFill="1" applyBorder="1"/>
    <xf numFmtId="0" fontId="7" fillId="2" borderId="25" xfId="0" applyFont="1" applyFill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18" xfId="0" applyFont="1" applyBorder="1"/>
    <xf numFmtId="0" fontId="2" fillId="0" borderId="20" xfId="0" applyFont="1" applyBorder="1"/>
    <xf numFmtId="0" fontId="2" fillId="0" borderId="6" xfId="0" applyFont="1" applyBorder="1"/>
    <xf numFmtId="0" fontId="2" fillId="0" borderId="8" xfId="0" applyFont="1" applyBorder="1"/>
    <xf numFmtId="168" fontId="7" fillId="2" borderId="6" xfId="0" applyNumberFormat="1" applyFont="1" applyFill="1" applyBorder="1" applyAlignment="1">
      <alignment horizontal="center" vertical="center" wrapText="1"/>
    </xf>
    <xf numFmtId="0" fontId="7" fillId="2" borderId="27" xfId="0" applyFont="1" applyFill="1" applyBorder="1" applyAlignment="1">
      <alignment horizontal="center" vertical="center" wrapText="1"/>
    </xf>
    <xf numFmtId="0" fontId="2" fillId="0" borderId="27" xfId="0" applyFont="1" applyBorder="1"/>
    <xf numFmtId="0" fontId="3" fillId="0" borderId="27" xfId="0" applyFont="1" applyBorder="1"/>
    <xf numFmtId="0" fontId="2" fillId="0" borderId="25" xfId="0" applyFont="1" applyBorder="1"/>
    <xf numFmtId="0" fontId="11" fillId="0" borderId="0" xfId="2" applyFont="1" applyAlignment="1">
      <alignment horizontal="center" vertical="center"/>
    </xf>
    <xf numFmtId="0" fontId="12" fillId="7" borderId="28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/>
    </xf>
    <xf numFmtId="0" fontId="13" fillId="0" borderId="2" xfId="2" applyFont="1" applyBorder="1" applyAlignment="1">
      <alignment horizontal="left" vertical="center"/>
    </xf>
    <xf numFmtId="0" fontId="12" fillId="7" borderId="29" xfId="2" applyFont="1" applyFill="1" applyBorder="1" applyAlignment="1">
      <alignment horizontal="center" vertical="center" wrapText="1"/>
    </xf>
    <xf numFmtId="0" fontId="12" fillId="7" borderId="30" xfId="2" applyFont="1" applyFill="1" applyBorder="1" applyAlignment="1">
      <alignment horizontal="center" vertical="center" wrapText="1"/>
    </xf>
    <xf numFmtId="0" fontId="13" fillId="0" borderId="2" xfId="2" applyFont="1" applyBorder="1" applyAlignment="1">
      <alignment horizontal="center" vertical="center" wrapText="1"/>
    </xf>
    <xf numFmtId="0" fontId="13" fillId="0" borderId="2" xfId="2" applyFont="1" applyBorder="1" applyAlignment="1">
      <alignment horizontal="left" vertical="center" wrapText="1"/>
    </xf>
    <xf numFmtId="0" fontId="11" fillId="0" borderId="0" xfId="2" applyFont="1" applyAlignment="1">
      <alignment horizontal="center" vertical="center" wrapText="1"/>
    </xf>
    <xf numFmtId="0" fontId="14" fillId="0" borderId="0" xfId="2" applyFont="1" applyAlignment="1">
      <alignment horizontal="center" vertical="center" textRotation="90"/>
    </xf>
    <xf numFmtId="0" fontId="16" fillId="0" borderId="0" xfId="2" applyFont="1" applyAlignment="1">
      <alignment horizontal="center" vertical="center"/>
    </xf>
    <xf numFmtId="0" fontId="14" fillId="8" borderId="31" xfId="2" applyFont="1" applyFill="1" applyBorder="1" applyAlignment="1">
      <alignment horizontal="center" vertical="center"/>
    </xf>
    <xf numFmtId="0" fontId="14" fillId="8" borderId="0" xfId="2" applyFont="1" applyFill="1" applyAlignment="1">
      <alignment horizontal="center" vertical="center"/>
    </xf>
    <xf numFmtId="0" fontId="14" fillId="3" borderId="31" xfId="2" applyFont="1" applyFill="1" applyBorder="1" applyAlignment="1">
      <alignment horizontal="center" vertical="center"/>
    </xf>
    <xf numFmtId="0" fontId="14" fillId="3" borderId="0" xfId="2" applyFont="1" applyFill="1" applyAlignment="1">
      <alignment horizontal="center" vertical="center"/>
    </xf>
    <xf numFmtId="0" fontId="14" fillId="6" borderId="31" xfId="2" applyFont="1" applyFill="1" applyBorder="1" applyAlignment="1">
      <alignment horizontal="center" vertical="center"/>
    </xf>
    <xf numFmtId="0" fontId="14" fillId="6" borderId="0" xfId="2" applyFont="1" applyFill="1" applyAlignment="1">
      <alignment horizontal="center" vertical="center"/>
    </xf>
    <xf numFmtId="0" fontId="14" fillId="4" borderId="31" xfId="2" applyFont="1" applyFill="1" applyBorder="1" applyAlignment="1">
      <alignment horizontal="center" vertical="center"/>
    </xf>
    <xf numFmtId="0" fontId="14" fillId="4" borderId="0" xfId="2" applyFont="1" applyFill="1" applyAlignment="1">
      <alignment horizontal="center" vertical="center"/>
    </xf>
    <xf numFmtId="0" fontId="16" fillId="0" borderId="32" xfId="2" applyFont="1" applyBorder="1" applyAlignment="1">
      <alignment horizontal="center" vertical="center"/>
    </xf>
    <xf numFmtId="0" fontId="14" fillId="5" borderId="33" xfId="2" applyFont="1" applyFill="1" applyBorder="1" applyAlignment="1">
      <alignment horizontal="center" vertical="center"/>
    </xf>
    <xf numFmtId="0" fontId="14" fillId="5" borderId="32" xfId="2" applyFont="1" applyFill="1" applyBorder="1" applyAlignment="1">
      <alignment horizontal="center" vertical="center"/>
    </xf>
    <xf numFmtId="0" fontId="14" fillId="4" borderId="32" xfId="2" applyFont="1" applyFill="1" applyBorder="1" applyAlignment="1">
      <alignment horizontal="center" vertical="center"/>
    </xf>
    <xf numFmtId="0" fontId="14" fillId="6" borderId="32" xfId="2" applyFont="1" applyFill="1" applyBorder="1" applyAlignment="1">
      <alignment horizontal="center" vertical="center"/>
    </xf>
    <xf numFmtId="0" fontId="14" fillId="3" borderId="32" xfId="2" applyFont="1" applyFill="1" applyBorder="1" applyAlignment="1">
      <alignment horizontal="center" vertical="center"/>
    </xf>
    <xf numFmtId="0" fontId="14" fillId="8" borderId="32" xfId="2" applyFont="1" applyFill="1" applyBorder="1" applyAlignment="1">
      <alignment horizontal="center" vertical="center"/>
    </xf>
    <xf numFmtId="0" fontId="11" fillId="0" borderId="32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6" fillId="0" borderId="31" xfId="2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7" fillId="2" borderId="5" xfId="0" applyFont="1" applyFill="1" applyBorder="1" applyAlignment="1">
      <alignment vertical="center" wrapText="1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3" fillId="0" borderId="11" xfId="2" applyFont="1" applyBorder="1" applyAlignment="1">
      <alignment horizontal="left" vertical="center" wrapText="1"/>
    </xf>
    <xf numFmtId="0" fontId="13" fillId="0" borderId="12" xfId="2" applyFont="1" applyBorder="1" applyAlignment="1">
      <alignment horizontal="left" vertical="center" wrapText="1"/>
    </xf>
    <xf numFmtId="0" fontId="13" fillId="0" borderId="13" xfId="2" applyFont="1" applyBorder="1" applyAlignment="1">
      <alignment horizontal="left" vertical="center" wrapText="1"/>
    </xf>
    <xf numFmtId="0" fontId="15" fillId="0" borderId="31" xfId="2" applyFont="1" applyBorder="1" applyAlignment="1">
      <alignment horizontal="center" vertical="center" wrapText="1"/>
    </xf>
    <xf numFmtId="0" fontId="15" fillId="0" borderId="0" xfId="2" applyFont="1" applyAlignment="1">
      <alignment horizontal="center" vertical="center" wrapText="1"/>
    </xf>
    <xf numFmtId="0" fontId="10" fillId="7" borderId="0" xfId="2" applyFont="1" applyFill="1" applyAlignment="1">
      <alignment horizontal="center" vertical="center" wrapText="1"/>
    </xf>
    <xf numFmtId="0" fontId="10" fillId="7" borderId="14" xfId="2" applyFont="1" applyFill="1" applyBorder="1" applyAlignment="1">
      <alignment horizontal="center" vertical="center" wrapText="1"/>
    </xf>
    <xf numFmtId="0" fontId="10" fillId="7" borderId="15" xfId="2" applyFont="1" applyFill="1" applyBorder="1" applyAlignment="1">
      <alignment horizontal="center" vertical="center" wrapText="1"/>
    </xf>
    <xf numFmtId="0" fontId="10" fillId="7" borderId="17" xfId="2" applyFont="1" applyFill="1" applyBorder="1" applyAlignment="1">
      <alignment horizontal="center" vertical="center" wrapText="1"/>
    </xf>
    <xf numFmtId="0" fontId="12" fillId="7" borderId="28" xfId="2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3777AACE-F161-4723-9D9E-3AE57EE3A2B8}"/>
    <cellStyle name="Normal 3" xfId="2" xr:uid="{F41944A4-950E-42BE-873F-EAB99A13D6B0}"/>
  </cellStyles>
  <dxfs count="30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auto="1"/>
      </font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545043</xdr:colOff>
      <xdr:row>21</xdr:row>
      <xdr:rowOff>138288</xdr:rowOff>
    </xdr:from>
    <xdr:to>
      <xdr:col>12</xdr:col>
      <xdr:colOff>87843</xdr:colOff>
      <xdr:row>22</xdr:row>
      <xdr:rowOff>338313</xdr:rowOff>
    </xdr:to>
    <xdr:sp macro="" textlink="">
      <xdr:nvSpPr>
        <xdr:cNvPr id="2" name="Triângulo isósceles 1">
          <a:extLst>
            <a:ext uri="{FF2B5EF4-FFF2-40B4-BE49-F238E27FC236}">
              <a16:creationId xmlns:a16="http://schemas.microsoft.com/office/drawing/2014/main" id="{04C04795-AAFB-47CE-AA4B-AD32BBB87762}"/>
            </a:ext>
          </a:extLst>
        </xdr:cNvPr>
        <xdr:cNvSpPr/>
      </xdr:nvSpPr>
      <xdr:spPr>
        <a:xfrm>
          <a:off x="15114483" y="6889608"/>
          <a:ext cx="175260" cy="375285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18</xdr:col>
      <xdr:colOff>647700</xdr:colOff>
      <xdr:row>27</xdr:row>
      <xdr:rowOff>361950</xdr:rowOff>
    </xdr:from>
    <xdr:to>
      <xdr:col>19</xdr:col>
      <xdr:colOff>19050</xdr:colOff>
      <xdr:row>28</xdr:row>
      <xdr:rowOff>76200</xdr:rowOff>
    </xdr:to>
    <xdr:sp macro="" textlink="">
      <xdr:nvSpPr>
        <xdr:cNvPr id="3" name="Triângulo isósceles 2">
          <a:extLst>
            <a:ext uri="{FF2B5EF4-FFF2-40B4-BE49-F238E27FC236}">
              <a16:creationId xmlns:a16="http://schemas.microsoft.com/office/drawing/2014/main" id="{80B66A96-87D1-4FBA-9AC4-24BF7B1EE0F4}"/>
            </a:ext>
          </a:extLst>
        </xdr:cNvPr>
        <xdr:cNvSpPr/>
      </xdr:nvSpPr>
      <xdr:spPr>
        <a:xfrm rot="5400000">
          <a:off x="20398740" y="9757410"/>
          <a:ext cx="156210" cy="384810"/>
        </a:xfrm>
        <a:prstGeom prst="triangle">
          <a:avLst/>
        </a:prstGeom>
        <a:solidFill>
          <a:schemeClr val="tx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5</xdr:col>
      <xdr:colOff>547952</xdr:colOff>
      <xdr:row>28</xdr:row>
      <xdr:rowOff>46196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A5DE01BA-8E0D-4218-AD8A-558FBE3B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" y="6926580"/>
          <a:ext cx="5066612" cy="30713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FB6DA-40E8-465E-8EB0-87255ECEC843}">
  <dimension ref="B2:T28"/>
  <sheetViews>
    <sheetView showGridLines="0" tabSelected="1"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K32" sqref="K32"/>
    </sheetView>
  </sheetViews>
  <sheetFormatPr defaultRowHeight="10.199999999999999"/>
  <cols>
    <col min="1" max="1" width="2.28515625" customWidth="1"/>
    <col min="2" max="2" width="6.140625" customWidth="1"/>
    <col min="4" max="4" width="18.42578125" style="2" customWidth="1"/>
    <col min="5" max="5" width="18" style="2" customWidth="1"/>
    <col min="6" max="6" width="17.7109375" style="2" customWidth="1"/>
    <col min="7" max="7" width="16.5703125" style="2" customWidth="1"/>
    <col min="8" max="8" width="13.5703125" style="2" customWidth="1"/>
    <col min="9" max="9" width="22.28515625" style="2" customWidth="1"/>
    <col min="10" max="10" width="9.5703125" style="2" bestFit="1" customWidth="1"/>
    <col min="11" max="11" width="14.5703125" style="2" customWidth="1"/>
    <col min="12" max="12" width="10.28515625" style="2" bestFit="1" customWidth="1"/>
    <col min="13" max="13" width="8.5703125" style="2" customWidth="1"/>
    <col min="14" max="14" width="13.28515625" style="2" bestFit="1" customWidth="1"/>
    <col min="15" max="15" width="13.7109375" style="2" customWidth="1"/>
    <col min="16" max="16" width="17.5703125" style="2" customWidth="1"/>
    <col min="17" max="17" width="10.28515625" style="2" customWidth="1"/>
    <col min="18" max="18" width="16" style="2" customWidth="1"/>
    <col min="19" max="19" width="15.7109375" style="2" customWidth="1"/>
    <col min="20" max="20" width="8.85546875" style="2"/>
  </cols>
  <sheetData>
    <row r="2" spans="2:19" ht="15.6">
      <c r="B2" s="128" t="s">
        <v>69</v>
      </c>
      <c r="C2" s="129"/>
      <c r="D2" s="129"/>
      <c r="E2" s="129"/>
      <c r="F2" s="129"/>
      <c r="G2" s="129"/>
      <c r="H2" s="129"/>
      <c r="I2" s="130"/>
    </row>
    <row r="3" spans="2:19" s="3" customFormat="1" ht="52.8">
      <c r="B3" s="19" t="s">
        <v>23</v>
      </c>
      <c r="C3" s="20" t="s">
        <v>24</v>
      </c>
      <c r="D3" s="20" t="s">
        <v>28</v>
      </c>
      <c r="E3" s="20" t="s">
        <v>29</v>
      </c>
      <c r="F3" s="20" t="s">
        <v>27</v>
      </c>
      <c r="G3" s="20" t="s">
        <v>30</v>
      </c>
      <c r="H3" s="20" t="s">
        <v>31</v>
      </c>
      <c r="I3" s="20" t="s">
        <v>32</v>
      </c>
      <c r="J3" s="20" t="s">
        <v>33</v>
      </c>
      <c r="K3" s="20" t="s">
        <v>34</v>
      </c>
      <c r="L3" s="20" t="s">
        <v>35</v>
      </c>
      <c r="M3" s="20" t="s">
        <v>178</v>
      </c>
      <c r="N3" s="20" t="s">
        <v>36</v>
      </c>
      <c r="O3" s="20" t="s">
        <v>37</v>
      </c>
      <c r="P3" s="20" t="s">
        <v>38</v>
      </c>
      <c r="Q3" s="20" t="s">
        <v>39</v>
      </c>
      <c r="R3" s="20" t="s">
        <v>40</v>
      </c>
      <c r="S3" s="21" t="s">
        <v>41</v>
      </c>
    </row>
    <row r="4" spans="2:19">
      <c r="B4" s="4">
        <v>1</v>
      </c>
      <c r="C4" s="1" t="s">
        <v>0</v>
      </c>
      <c r="D4" s="5" t="s">
        <v>80</v>
      </c>
      <c r="E4" s="5" t="s">
        <v>42</v>
      </c>
      <c r="F4" s="6">
        <v>25</v>
      </c>
      <c r="G4" s="7">
        <v>-20.219286</v>
      </c>
      <c r="H4" s="7">
        <v>-40.364151700000001</v>
      </c>
      <c r="I4" s="7" t="s">
        <v>81</v>
      </c>
      <c r="J4" s="5" t="s">
        <v>82</v>
      </c>
      <c r="K4" s="5" t="s">
        <v>83</v>
      </c>
      <c r="L4" s="5" t="s">
        <v>84</v>
      </c>
      <c r="M4" s="8">
        <v>25569</v>
      </c>
      <c r="N4" s="9">
        <v>8</v>
      </c>
      <c r="O4" s="6">
        <v>22.7</v>
      </c>
      <c r="P4" s="6">
        <v>3.7</v>
      </c>
      <c r="Q4" s="5" t="s">
        <v>85</v>
      </c>
      <c r="R4" s="5" t="s">
        <v>86</v>
      </c>
      <c r="S4" s="10" t="s">
        <v>87</v>
      </c>
    </row>
    <row r="5" spans="2:19">
      <c r="B5" s="4">
        <v>2</v>
      </c>
      <c r="C5" s="1" t="s">
        <v>1</v>
      </c>
      <c r="D5" s="5" t="s">
        <v>80</v>
      </c>
      <c r="E5" s="5" t="s">
        <v>88</v>
      </c>
      <c r="F5" s="6">
        <v>147</v>
      </c>
      <c r="G5" s="7">
        <v>-19.484022100000001</v>
      </c>
      <c r="H5" s="7">
        <v>-41.094306899999999</v>
      </c>
      <c r="I5" s="7" t="s">
        <v>89</v>
      </c>
      <c r="J5" s="5" t="s">
        <v>90</v>
      </c>
      <c r="K5" s="5" t="s">
        <v>91</v>
      </c>
      <c r="L5" s="5" t="s">
        <v>92</v>
      </c>
      <c r="M5" s="8">
        <v>14611</v>
      </c>
      <c r="N5" s="9">
        <v>4</v>
      </c>
      <c r="O5" s="6">
        <v>41</v>
      </c>
      <c r="P5" s="6">
        <v>6</v>
      </c>
      <c r="Q5" s="5" t="s">
        <v>85</v>
      </c>
      <c r="R5" s="5" t="s">
        <v>86</v>
      </c>
      <c r="S5" s="10" t="s">
        <v>87</v>
      </c>
    </row>
    <row r="6" spans="2:19">
      <c r="B6" s="4">
        <v>3</v>
      </c>
      <c r="C6" s="1" t="s">
        <v>2</v>
      </c>
      <c r="D6" s="5" t="s">
        <v>80</v>
      </c>
      <c r="E6" s="5" t="s">
        <v>88</v>
      </c>
      <c r="F6" s="6">
        <v>32</v>
      </c>
      <c r="G6" s="7">
        <v>-18.949966700000001</v>
      </c>
      <c r="H6" s="7">
        <v>-41.706411199999998</v>
      </c>
      <c r="I6" s="7" t="s">
        <v>93</v>
      </c>
      <c r="J6" s="5" t="s">
        <v>94</v>
      </c>
      <c r="K6" s="5" t="s">
        <v>95</v>
      </c>
      <c r="L6" s="5" t="s">
        <v>96</v>
      </c>
      <c r="M6" s="8">
        <v>14611</v>
      </c>
      <c r="N6" s="9">
        <v>1</v>
      </c>
      <c r="O6" s="6">
        <v>32.1</v>
      </c>
      <c r="P6" s="6">
        <v>5.6</v>
      </c>
      <c r="Q6" s="5" t="s">
        <v>85</v>
      </c>
      <c r="R6" s="5" t="s">
        <v>86</v>
      </c>
      <c r="S6" s="10" t="s">
        <v>87</v>
      </c>
    </row>
    <row r="7" spans="2:19">
      <c r="B7" s="4">
        <v>4</v>
      </c>
      <c r="C7" s="1" t="s">
        <v>3</v>
      </c>
      <c r="D7" s="5" t="s">
        <v>80</v>
      </c>
      <c r="E7" s="5" t="s">
        <v>88</v>
      </c>
      <c r="F7" s="6">
        <v>100</v>
      </c>
      <c r="G7" s="7">
        <v>-18.856793700000001</v>
      </c>
      <c r="H7" s="7">
        <v>-41.8626668</v>
      </c>
      <c r="I7" s="7" t="s">
        <v>97</v>
      </c>
      <c r="J7" s="5" t="s">
        <v>98</v>
      </c>
      <c r="K7" s="5" t="s">
        <v>99</v>
      </c>
      <c r="L7" s="5" t="s">
        <v>92</v>
      </c>
      <c r="M7" s="8">
        <v>28126</v>
      </c>
      <c r="N7" s="9">
        <v>3</v>
      </c>
      <c r="O7" s="6">
        <v>40</v>
      </c>
      <c r="P7" s="6">
        <v>6.9</v>
      </c>
      <c r="Q7" s="5" t="s">
        <v>85</v>
      </c>
      <c r="R7" s="5" t="s">
        <v>86</v>
      </c>
      <c r="S7" s="10" t="s">
        <v>87</v>
      </c>
    </row>
    <row r="8" spans="2:19">
      <c r="B8" s="4">
        <v>5</v>
      </c>
      <c r="C8" s="1" t="s">
        <v>4</v>
      </c>
      <c r="D8" s="5" t="s">
        <v>80</v>
      </c>
      <c r="E8" s="5" t="s">
        <v>88</v>
      </c>
      <c r="F8" s="6">
        <v>240</v>
      </c>
      <c r="G8" s="7">
        <v>-18.8542177</v>
      </c>
      <c r="H8" s="7">
        <v>-41.861779200000001</v>
      </c>
      <c r="I8" s="7" t="s">
        <v>97</v>
      </c>
      <c r="J8" s="5" t="s">
        <v>98</v>
      </c>
      <c r="K8" s="5" t="s">
        <v>99</v>
      </c>
      <c r="L8" s="5" t="s">
        <v>92</v>
      </c>
      <c r="M8" s="8">
        <v>27395</v>
      </c>
      <c r="N8" s="9">
        <v>6</v>
      </c>
      <c r="O8" s="6">
        <v>40</v>
      </c>
      <c r="P8" s="6">
        <v>6.9</v>
      </c>
      <c r="Q8" s="5" t="s">
        <v>85</v>
      </c>
      <c r="R8" s="5" t="s">
        <v>86</v>
      </c>
      <c r="S8" s="10" t="s">
        <v>87</v>
      </c>
    </row>
    <row r="9" spans="2:19">
      <c r="B9" s="4">
        <v>6</v>
      </c>
      <c r="C9" s="1" t="s">
        <v>5</v>
      </c>
      <c r="D9" s="5" t="s">
        <v>80</v>
      </c>
      <c r="E9" s="5" t="s">
        <v>88</v>
      </c>
      <c r="F9" s="6">
        <v>25</v>
      </c>
      <c r="G9" s="7">
        <v>-20.219286</v>
      </c>
      <c r="H9" s="7">
        <v>-40.364151700000001</v>
      </c>
      <c r="I9" s="7" t="s">
        <v>81</v>
      </c>
      <c r="J9" s="5" t="s">
        <v>82</v>
      </c>
      <c r="K9" s="5" t="s">
        <v>83</v>
      </c>
      <c r="L9" s="5" t="s">
        <v>84</v>
      </c>
      <c r="M9" s="8">
        <v>25569</v>
      </c>
      <c r="N9" s="9">
        <v>8</v>
      </c>
      <c r="O9" s="6">
        <v>22.7</v>
      </c>
      <c r="P9" s="6">
        <v>3.7</v>
      </c>
      <c r="Q9" s="5" t="s">
        <v>85</v>
      </c>
      <c r="R9" s="5" t="s">
        <v>86</v>
      </c>
      <c r="S9" s="10" t="s">
        <v>87</v>
      </c>
    </row>
    <row r="10" spans="2:19">
      <c r="B10" s="4">
        <v>7</v>
      </c>
      <c r="C10" s="1" t="s">
        <v>6</v>
      </c>
      <c r="D10" s="5" t="s">
        <v>80</v>
      </c>
      <c r="E10" s="5" t="s">
        <v>42</v>
      </c>
      <c r="F10" s="6">
        <v>147</v>
      </c>
      <c r="G10" s="7">
        <v>-19.484022100000001</v>
      </c>
      <c r="H10" s="7">
        <v>-41.094306899999999</v>
      </c>
      <c r="I10" s="7" t="s">
        <v>89</v>
      </c>
      <c r="J10" s="5" t="s">
        <v>94</v>
      </c>
      <c r="K10" s="5" t="s">
        <v>95</v>
      </c>
      <c r="L10" s="5" t="s">
        <v>96</v>
      </c>
      <c r="M10" s="8">
        <v>27760</v>
      </c>
      <c r="N10" s="9">
        <v>7</v>
      </c>
      <c r="O10" s="6">
        <v>21</v>
      </c>
      <c r="P10" s="6">
        <v>3.4</v>
      </c>
      <c r="Q10" s="5" t="s">
        <v>85</v>
      </c>
      <c r="R10" s="5" t="s">
        <v>86</v>
      </c>
      <c r="S10" s="10" t="s">
        <v>87</v>
      </c>
    </row>
    <row r="11" spans="2:19">
      <c r="B11" s="4">
        <v>8</v>
      </c>
      <c r="C11" s="1" t="s">
        <v>7</v>
      </c>
      <c r="D11" s="5" t="s">
        <v>80</v>
      </c>
      <c r="E11" s="5" t="s">
        <v>100</v>
      </c>
      <c r="F11" s="6">
        <v>16</v>
      </c>
      <c r="G11" s="7">
        <v>-18.982143099999998</v>
      </c>
      <c r="H11" s="7">
        <v>-41.639576099999999</v>
      </c>
      <c r="I11" s="7" t="s">
        <v>93</v>
      </c>
      <c r="J11" s="5" t="s">
        <v>90</v>
      </c>
      <c r="K11" s="5" t="s">
        <v>91</v>
      </c>
      <c r="L11" s="5" t="s">
        <v>92</v>
      </c>
      <c r="M11" s="8">
        <v>14611</v>
      </c>
      <c r="N11" s="9">
        <v>1</v>
      </c>
      <c r="O11" s="6">
        <v>16.7</v>
      </c>
      <c r="P11" s="6">
        <v>8.6</v>
      </c>
      <c r="Q11" s="5" t="s">
        <v>85</v>
      </c>
      <c r="R11" s="5" t="s">
        <v>86</v>
      </c>
      <c r="S11" s="10" t="s">
        <v>87</v>
      </c>
    </row>
    <row r="12" spans="2:19">
      <c r="B12" s="4">
        <v>9</v>
      </c>
      <c r="C12" s="1" t="s">
        <v>8</v>
      </c>
      <c r="D12" s="5" t="s">
        <v>80</v>
      </c>
      <c r="E12" s="5" t="s">
        <v>42</v>
      </c>
      <c r="F12" s="6">
        <v>41</v>
      </c>
      <c r="G12" s="7">
        <v>-18.949966700000001</v>
      </c>
      <c r="H12" s="7">
        <v>-41.706411199999998</v>
      </c>
      <c r="I12" s="7" t="s">
        <v>93</v>
      </c>
      <c r="J12" s="5" t="s">
        <v>94</v>
      </c>
      <c r="K12" s="5" t="s">
        <v>95</v>
      </c>
      <c r="L12" s="5" t="s">
        <v>96</v>
      </c>
      <c r="M12" s="8">
        <v>25569</v>
      </c>
      <c r="N12" s="9">
        <v>2</v>
      </c>
      <c r="O12" s="6">
        <v>20.7</v>
      </c>
      <c r="P12" s="6">
        <v>4.9000000000000004</v>
      </c>
      <c r="Q12" s="5" t="s">
        <v>85</v>
      </c>
      <c r="R12" s="5" t="s">
        <v>86</v>
      </c>
      <c r="S12" s="10" t="s">
        <v>87</v>
      </c>
    </row>
    <row r="13" spans="2:19">
      <c r="B13" s="4">
        <v>10</v>
      </c>
      <c r="C13" s="1" t="s">
        <v>9</v>
      </c>
      <c r="D13" s="5" t="s">
        <v>80</v>
      </c>
      <c r="E13" s="5" t="s">
        <v>42</v>
      </c>
      <c r="F13" s="6">
        <v>102</v>
      </c>
      <c r="G13" s="7">
        <v>-18.856793700000001</v>
      </c>
      <c r="H13" s="7">
        <v>-41.8626668</v>
      </c>
      <c r="I13" s="7" t="s">
        <v>97</v>
      </c>
      <c r="J13" s="5" t="s">
        <v>98</v>
      </c>
      <c r="K13" s="5" t="s">
        <v>99</v>
      </c>
      <c r="L13" s="5" t="s">
        <v>92</v>
      </c>
      <c r="M13" s="8">
        <v>28126</v>
      </c>
      <c r="N13" s="9">
        <v>5</v>
      </c>
      <c r="O13" s="6">
        <v>20.5</v>
      </c>
      <c r="P13" s="6">
        <v>7.3</v>
      </c>
      <c r="Q13" s="5" t="s">
        <v>85</v>
      </c>
      <c r="R13" s="5" t="s">
        <v>86</v>
      </c>
      <c r="S13" s="10" t="s">
        <v>87</v>
      </c>
    </row>
    <row r="14" spans="2:19">
      <c r="B14" s="4">
        <v>11</v>
      </c>
      <c r="C14" s="1" t="s">
        <v>10</v>
      </c>
      <c r="D14" s="5" t="s">
        <v>80</v>
      </c>
      <c r="E14" s="5" t="s">
        <v>42</v>
      </c>
      <c r="F14" s="6">
        <v>244</v>
      </c>
      <c r="G14" s="7">
        <v>-18.8542177</v>
      </c>
      <c r="H14" s="7">
        <v>-41.861779200000001</v>
      </c>
      <c r="I14" s="7" t="s">
        <v>97</v>
      </c>
      <c r="J14" s="5" t="s">
        <v>98</v>
      </c>
      <c r="K14" s="5" t="s">
        <v>99</v>
      </c>
      <c r="L14" s="5" t="s">
        <v>92</v>
      </c>
      <c r="M14" s="8">
        <v>28126</v>
      </c>
      <c r="N14" s="9">
        <v>12</v>
      </c>
      <c r="O14" s="6">
        <v>20.5</v>
      </c>
      <c r="P14" s="6">
        <v>12</v>
      </c>
      <c r="Q14" s="5" t="s">
        <v>85</v>
      </c>
      <c r="R14" s="5" t="s">
        <v>86</v>
      </c>
      <c r="S14" s="10" t="s">
        <v>87</v>
      </c>
    </row>
    <row r="15" spans="2:19">
      <c r="B15" s="4">
        <v>12</v>
      </c>
      <c r="C15" s="1" t="s">
        <v>11</v>
      </c>
      <c r="D15" s="5" t="s">
        <v>101</v>
      </c>
      <c r="E15" s="5" t="s">
        <v>42</v>
      </c>
      <c r="F15" s="6">
        <v>152</v>
      </c>
      <c r="G15" s="7">
        <v>-19.713774900000001</v>
      </c>
      <c r="H15" s="7">
        <v>-40.336622200000001</v>
      </c>
      <c r="I15" s="7" t="s">
        <v>102</v>
      </c>
      <c r="J15" s="5" t="s">
        <v>90</v>
      </c>
      <c r="K15" s="5" t="s">
        <v>91</v>
      </c>
      <c r="L15" s="5" t="s">
        <v>96</v>
      </c>
      <c r="M15" s="8">
        <v>25569</v>
      </c>
      <c r="N15" s="9">
        <v>7</v>
      </c>
      <c r="O15" s="6">
        <v>30</v>
      </c>
      <c r="P15" s="6">
        <v>21</v>
      </c>
      <c r="Q15" s="5" t="s">
        <v>85</v>
      </c>
      <c r="R15" s="5" t="s">
        <v>103</v>
      </c>
      <c r="S15" s="10" t="s">
        <v>87</v>
      </c>
    </row>
    <row r="16" spans="2:19">
      <c r="B16" s="4">
        <v>13</v>
      </c>
      <c r="C16" s="1" t="s">
        <v>12</v>
      </c>
      <c r="D16" s="5" t="s">
        <v>101</v>
      </c>
      <c r="E16" s="5" t="s">
        <v>42</v>
      </c>
      <c r="F16" s="6">
        <v>260</v>
      </c>
      <c r="G16" s="7">
        <v>-19.7156296</v>
      </c>
      <c r="H16" s="7">
        <v>-40.196794500000003</v>
      </c>
      <c r="I16" s="7" t="s">
        <v>104</v>
      </c>
      <c r="J16" s="5" t="s">
        <v>90</v>
      </c>
      <c r="K16" s="5" t="s">
        <v>91</v>
      </c>
      <c r="L16" s="5" t="s">
        <v>96</v>
      </c>
      <c r="M16" s="8">
        <v>25569</v>
      </c>
      <c r="N16" s="9">
        <v>12</v>
      </c>
      <c r="O16" s="6">
        <v>40</v>
      </c>
      <c r="P16" s="6">
        <v>50</v>
      </c>
      <c r="Q16" s="5" t="s">
        <v>85</v>
      </c>
      <c r="R16" s="5" t="s">
        <v>103</v>
      </c>
      <c r="S16" s="10" t="s">
        <v>87</v>
      </c>
    </row>
    <row r="17" spans="2:19">
      <c r="B17" s="4">
        <v>14</v>
      </c>
      <c r="C17" s="1" t="s">
        <v>13</v>
      </c>
      <c r="D17" s="5" t="s">
        <v>80</v>
      </c>
      <c r="E17" s="5" t="s">
        <v>105</v>
      </c>
      <c r="F17" s="6">
        <v>492</v>
      </c>
      <c r="G17" s="7">
        <v>-19.9375365</v>
      </c>
      <c r="H17" s="7">
        <v>-43.6239323</v>
      </c>
      <c r="I17" s="7" t="s">
        <v>106</v>
      </c>
      <c r="J17" s="5" t="s">
        <v>94</v>
      </c>
      <c r="K17" s="5" t="s">
        <v>95</v>
      </c>
      <c r="L17" s="5" t="s">
        <v>96</v>
      </c>
      <c r="M17" s="8">
        <v>21916</v>
      </c>
      <c r="N17" s="9">
        <v>14</v>
      </c>
      <c r="O17" s="6">
        <v>35</v>
      </c>
      <c r="P17" s="6">
        <v>78.930000000000007</v>
      </c>
      <c r="Q17" s="5" t="s">
        <v>107</v>
      </c>
      <c r="R17" s="5" t="s">
        <v>103</v>
      </c>
      <c r="S17" s="10" t="s">
        <v>87</v>
      </c>
    </row>
    <row r="18" spans="2:19">
      <c r="B18" s="4">
        <v>15</v>
      </c>
      <c r="C18" s="1" t="s">
        <v>14</v>
      </c>
      <c r="D18" s="5" t="s">
        <v>80</v>
      </c>
      <c r="E18" s="5" t="s">
        <v>105</v>
      </c>
      <c r="F18" s="6">
        <v>142</v>
      </c>
      <c r="G18" s="7">
        <v>-19.875502999999998</v>
      </c>
      <c r="H18" s="7">
        <v>-43.858114200000003</v>
      </c>
      <c r="I18" s="7" t="s">
        <v>108</v>
      </c>
      <c r="J18" s="5" t="s">
        <v>94</v>
      </c>
      <c r="K18" s="5" t="s">
        <v>95</v>
      </c>
      <c r="L18" s="5" t="s">
        <v>96</v>
      </c>
      <c r="M18" s="8">
        <v>32874</v>
      </c>
      <c r="N18" s="9">
        <v>4</v>
      </c>
      <c r="O18" s="6">
        <v>35.06</v>
      </c>
      <c r="P18" s="6">
        <v>12</v>
      </c>
      <c r="Q18" s="5" t="s">
        <v>107</v>
      </c>
      <c r="R18" s="5" t="s">
        <v>103</v>
      </c>
      <c r="S18" s="10" t="s">
        <v>87</v>
      </c>
    </row>
    <row r="19" spans="2:19">
      <c r="B19" s="4">
        <v>16</v>
      </c>
      <c r="C19" s="1" t="s">
        <v>15</v>
      </c>
      <c r="D19" s="5" t="s">
        <v>80</v>
      </c>
      <c r="E19" s="5" t="s">
        <v>105</v>
      </c>
      <c r="F19" s="6">
        <v>460</v>
      </c>
      <c r="G19" s="7">
        <v>-19.9171324</v>
      </c>
      <c r="H19" s="7">
        <v>-43.401884799999998</v>
      </c>
      <c r="I19" s="7" t="s">
        <v>109</v>
      </c>
      <c r="J19" s="5" t="s">
        <v>90</v>
      </c>
      <c r="K19" s="5" t="s">
        <v>91</v>
      </c>
      <c r="L19" s="5" t="s">
        <v>92</v>
      </c>
      <c r="M19" s="8">
        <v>1998</v>
      </c>
      <c r="N19" s="9">
        <v>9</v>
      </c>
      <c r="O19" s="6">
        <v>45</v>
      </c>
      <c r="P19" s="6">
        <v>26.5</v>
      </c>
      <c r="Q19" s="5" t="s">
        <v>85</v>
      </c>
      <c r="R19" s="5" t="s">
        <v>86</v>
      </c>
      <c r="S19" s="10" t="s">
        <v>87</v>
      </c>
    </row>
    <row r="20" spans="2:19">
      <c r="B20" s="4">
        <v>17</v>
      </c>
      <c r="C20" s="1" t="s">
        <v>16</v>
      </c>
      <c r="D20" s="5" t="s">
        <v>101</v>
      </c>
      <c r="E20" s="5" t="s">
        <v>105</v>
      </c>
      <c r="F20" s="6">
        <v>464</v>
      </c>
      <c r="G20" s="7">
        <v>-19.9082413</v>
      </c>
      <c r="H20" s="7">
        <v>-43.455850599999998</v>
      </c>
      <c r="I20" s="7" t="s">
        <v>110</v>
      </c>
      <c r="J20" s="5" t="s">
        <v>90</v>
      </c>
      <c r="K20" s="5" t="s">
        <v>91</v>
      </c>
      <c r="L20" s="5" t="s">
        <v>96</v>
      </c>
      <c r="M20" s="8">
        <v>25569</v>
      </c>
      <c r="N20" s="9">
        <v>9</v>
      </c>
      <c r="O20" s="6">
        <v>48.7</v>
      </c>
      <c r="P20" s="6">
        <v>47.38</v>
      </c>
      <c r="Q20" s="5" t="s">
        <v>85</v>
      </c>
      <c r="R20" s="5" t="s">
        <v>86</v>
      </c>
      <c r="S20" s="10" t="s">
        <v>87</v>
      </c>
    </row>
    <row r="21" spans="2:19">
      <c r="B21" s="4">
        <v>18</v>
      </c>
      <c r="C21" s="1" t="s">
        <v>17</v>
      </c>
      <c r="D21" s="5" t="s">
        <v>101</v>
      </c>
      <c r="E21" s="5" t="s">
        <v>105</v>
      </c>
      <c r="F21" s="6">
        <v>579</v>
      </c>
      <c r="G21" s="7">
        <v>-19.932355699999999</v>
      </c>
      <c r="H21" s="7">
        <v>-43.506520399999999</v>
      </c>
      <c r="I21" s="7" t="s">
        <v>110</v>
      </c>
      <c r="J21" s="5" t="s">
        <v>90</v>
      </c>
      <c r="K21" s="5" t="s">
        <v>91</v>
      </c>
      <c r="L21" s="5" t="s">
        <v>96</v>
      </c>
      <c r="M21" s="8">
        <v>36526</v>
      </c>
      <c r="N21" s="9">
        <v>12</v>
      </c>
      <c r="O21" s="6">
        <v>47.6</v>
      </c>
      <c r="P21" s="6">
        <v>47.5</v>
      </c>
      <c r="Q21" s="5" t="s">
        <v>107</v>
      </c>
      <c r="R21" s="5" t="s">
        <v>86</v>
      </c>
      <c r="S21" s="10" t="s">
        <v>87</v>
      </c>
    </row>
    <row r="22" spans="2:19">
      <c r="B22" s="4">
        <v>19</v>
      </c>
      <c r="C22" s="1" t="s">
        <v>18</v>
      </c>
      <c r="D22" s="5" t="s">
        <v>80</v>
      </c>
      <c r="E22" s="5" t="s">
        <v>100</v>
      </c>
      <c r="F22" s="6">
        <v>410</v>
      </c>
      <c r="G22" s="7">
        <v>-20.3301099</v>
      </c>
      <c r="H22" s="7">
        <v>-43.533261299999999</v>
      </c>
      <c r="I22" s="7" t="s">
        <v>111</v>
      </c>
      <c r="J22" s="5" t="s">
        <v>94</v>
      </c>
      <c r="K22" s="5" t="s">
        <v>95</v>
      </c>
      <c r="L22" s="5" t="s">
        <v>96</v>
      </c>
      <c r="M22" s="8">
        <v>25204</v>
      </c>
      <c r="N22" s="9">
        <v>17</v>
      </c>
      <c r="O22" s="6">
        <v>22.75</v>
      </c>
      <c r="P22" s="6">
        <v>87</v>
      </c>
      <c r="Q22" s="5" t="s">
        <v>85</v>
      </c>
      <c r="R22" s="5" t="s">
        <v>103</v>
      </c>
      <c r="S22" s="10" t="s">
        <v>87</v>
      </c>
    </row>
    <row r="23" spans="2:19">
      <c r="B23" s="4">
        <v>20</v>
      </c>
      <c r="C23" s="1" t="s">
        <v>19</v>
      </c>
      <c r="D23" s="5" t="s">
        <v>101</v>
      </c>
      <c r="E23" s="5" t="s">
        <v>42</v>
      </c>
      <c r="F23" s="6">
        <v>260</v>
      </c>
      <c r="G23" s="7">
        <v>-20.2562517</v>
      </c>
      <c r="H23" s="7">
        <v>-43.519446199999997</v>
      </c>
      <c r="I23" s="7" t="s">
        <v>111</v>
      </c>
      <c r="J23" s="5" t="s">
        <v>90</v>
      </c>
      <c r="K23" s="5" t="s">
        <v>91</v>
      </c>
      <c r="L23" s="5" t="s">
        <v>92</v>
      </c>
      <c r="M23" s="8">
        <v>25569</v>
      </c>
      <c r="N23" s="9">
        <v>12</v>
      </c>
      <c r="O23" s="6">
        <v>22.75</v>
      </c>
      <c r="P23" s="6">
        <v>70</v>
      </c>
      <c r="Q23" s="5" t="s">
        <v>107</v>
      </c>
      <c r="R23" s="5" t="s">
        <v>86</v>
      </c>
      <c r="S23" s="10" t="s">
        <v>87</v>
      </c>
    </row>
    <row r="24" spans="2:19">
      <c r="B24" s="4">
        <v>21</v>
      </c>
      <c r="C24" s="1" t="s">
        <v>20</v>
      </c>
      <c r="D24" s="5" t="s">
        <v>101</v>
      </c>
      <c r="E24" s="5" t="s">
        <v>100</v>
      </c>
      <c r="F24" s="6">
        <v>11</v>
      </c>
      <c r="G24" s="7">
        <v>-20.2562517</v>
      </c>
      <c r="H24" s="7">
        <v>-43.519446199999997</v>
      </c>
      <c r="I24" s="7" t="s">
        <v>111</v>
      </c>
      <c r="J24" s="5" t="s">
        <v>90</v>
      </c>
      <c r="K24" s="5" t="s">
        <v>91</v>
      </c>
      <c r="L24" s="5" t="s">
        <v>92</v>
      </c>
      <c r="M24" s="8">
        <v>21917</v>
      </c>
      <c r="N24" s="9">
        <v>1</v>
      </c>
      <c r="O24" s="6">
        <v>6.6</v>
      </c>
      <c r="P24" s="6">
        <v>5.0999999999999996</v>
      </c>
      <c r="Q24" s="5" t="s">
        <v>107</v>
      </c>
      <c r="R24" s="5" t="s">
        <v>86</v>
      </c>
      <c r="S24" s="10" t="s">
        <v>87</v>
      </c>
    </row>
    <row r="25" spans="2:19">
      <c r="B25" s="4">
        <v>22</v>
      </c>
      <c r="C25" s="1" t="s">
        <v>21</v>
      </c>
      <c r="D25" s="5" t="s">
        <v>101</v>
      </c>
      <c r="E25" s="5" t="s">
        <v>100</v>
      </c>
      <c r="F25" s="6">
        <v>81</v>
      </c>
      <c r="G25" s="7">
        <v>-20.4305156</v>
      </c>
      <c r="H25" s="7">
        <v>-43.774458099999997</v>
      </c>
      <c r="I25" s="7" t="s">
        <v>112</v>
      </c>
      <c r="J25" s="5" t="s">
        <v>94</v>
      </c>
      <c r="K25" s="5" t="s">
        <v>95</v>
      </c>
      <c r="L25" s="5" t="s">
        <v>113</v>
      </c>
      <c r="M25" s="8">
        <v>21916</v>
      </c>
      <c r="N25" s="9">
        <v>2</v>
      </c>
      <c r="O25" s="6">
        <v>40.6</v>
      </c>
      <c r="P25" s="6">
        <v>23.85</v>
      </c>
      <c r="Q25" s="5" t="s">
        <v>85</v>
      </c>
      <c r="R25" s="5" t="s">
        <v>86</v>
      </c>
      <c r="S25" s="10" t="s">
        <v>87</v>
      </c>
    </row>
    <row r="26" spans="2:19">
      <c r="B26" s="4">
        <v>23</v>
      </c>
      <c r="C26" s="1" t="s">
        <v>22</v>
      </c>
      <c r="D26" s="5" t="s">
        <v>101</v>
      </c>
      <c r="E26" s="5" t="s">
        <v>100</v>
      </c>
      <c r="F26" s="6">
        <v>26</v>
      </c>
      <c r="G26" s="7">
        <v>-19.654299999999999</v>
      </c>
      <c r="H26" s="7">
        <v>-43.257922200000003</v>
      </c>
      <c r="I26" s="7" t="s">
        <v>114</v>
      </c>
      <c r="J26" s="5" t="s">
        <v>90</v>
      </c>
      <c r="K26" s="5" t="s">
        <v>91</v>
      </c>
      <c r="L26" s="5" t="s">
        <v>113</v>
      </c>
      <c r="M26" s="8">
        <v>32874</v>
      </c>
      <c r="N26" s="9">
        <v>1</v>
      </c>
      <c r="O26" s="6">
        <v>26</v>
      </c>
      <c r="P26" s="6">
        <v>5.77</v>
      </c>
      <c r="Q26" s="5" t="s">
        <v>85</v>
      </c>
      <c r="R26" s="5" t="s">
        <v>86</v>
      </c>
      <c r="S26" s="10" t="s">
        <v>115</v>
      </c>
    </row>
    <row r="27" spans="2:19">
      <c r="B27" s="4">
        <v>24</v>
      </c>
      <c r="C27" s="1" t="s">
        <v>25</v>
      </c>
      <c r="D27" s="5" t="s">
        <v>116</v>
      </c>
      <c r="E27" s="5" t="s">
        <v>117</v>
      </c>
      <c r="F27" s="6">
        <v>159</v>
      </c>
      <c r="G27" s="7">
        <v>-20.271906600000001</v>
      </c>
      <c r="H27" s="7">
        <v>-43.514600199999997</v>
      </c>
      <c r="I27" s="7" t="s">
        <v>111</v>
      </c>
      <c r="J27" s="5" t="s">
        <v>90</v>
      </c>
      <c r="K27" s="5" t="s">
        <v>91</v>
      </c>
      <c r="L27" s="5" t="s">
        <v>92</v>
      </c>
      <c r="M27" s="8">
        <v>25569</v>
      </c>
      <c r="N27" s="9" t="s">
        <v>118</v>
      </c>
      <c r="O27" s="6" t="s">
        <v>118</v>
      </c>
      <c r="P27" s="6">
        <v>6.5</v>
      </c>
      <c r="Q27" s="5" t="s">
        <v>107</v>
      </c>
      <c r="R27" s="5" t="s">
        <v>118</v>
      </c>
      <c r="S27" s="10" t="s">
        <v>87</v>
      </c>
    </row>
    <row r="28" spans="2:19">
      <c r="B28" s="11">
        <v>25</v>
      </c>
      <c r="C28" s="12" t="s">
        <v>26</v>
      </c>
      <c r="D28" s="13" t="s">
        <v>116</v>
      </c>
      <c r="E28" s="13" t="s">
        <v>117</v>
      </c>
      <c r="F28" s="14">
        <v>256</v>
      </c>
      <c r="G28" s="15">
        <v>-20.2751068</v>
      </c>
      <c r="H28" s="15">
        <v>-43.514181899999997</v>
      </c>
      <c r="I28" s="15" t="s">
        <v>111</v>
      </c>
      <c r="J28" s="13" t="s">
        <v>90</v>
      </c>
      <c r="K28" s="13" t="s">
        <v>91</v>
      </c>
      <c r="L28" s="13" t="s">
        <v>92</v>
      </c>
      <c r="M28" s="16">
        <v>25569</v>
      </c>
      <c r="N28" s="17" t="s">
        <v>118</v>
      </c>
      <c r="O28" s="14" t="s">
        <v>118</v>
      </c>
      <c r="P28" s="14">
        <v>6.5</v>
      </c>
      <c r="Q28" s="13" t="s">
        <v>107</v>
      </c>
      <c r="R28" s="13" t="s">
        <v>118</v>
      </c>
      <c r="S28" s="18" t="s">
        <v>87</v>
      </c>
    </row>
  </sheetData>
  <mergeCells count="1">
    <mergeCell ref="B2:I2"/>
  </mergeCells>
  <phoneticPr fontId="4" type="noConversion"/>
  <conditionalFormatting sqref="J4:J28">
    <cfRule type="cellIs" dxfId="29" priority="1" operator="equal">
      <formula>"Extremo"</formula>
    </cfRule>
    <cfRule type="cellIs" dxfId="28" priority="2" operator="equal">
      <formula>"Muito Alto"</formula>
    </cfRule>
    <cfRule type="cellIs" dxfId="27" priority="3" operator="equal">
      <formula>"Alto"</formula>
    </cfRule>
    <cfRule type="cellIs" dxfId="26" priority="4" operator="equal">
      <formula>"Médio"</formula>
    </cfRule>
    <cfRule type="cellIs" dxfId="25" priority="5" operator="equal">
      <formula>"Baixo"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BC576-3018-4E12-B828-8BFA27F5D92D}">
  <dimension ref="B2:AU41"/>
  <sheetViews>
    <sheetView showGridLines="0" zoomScale="130" zoomScaleNormal="130" workbookViewId="0">
      <pane xSplit="6" ySplit="4" topLeftCell="G14" activePane="bottomRight" state="frozen"/>
      <selection pane="topRight" activeCell="G1" sqref="G1"/>
      <selection pane="bottomLeft" activeCell="A4" sqref="A4"/>
      <selection pane="bottomRight" activeCell="AF4" sqref="AF4"/>
    </sheetView>
  </sheetViews>
  <sheetFormatPr defaultRowHeight="10.199999999999999"/>
  <cols>
    <col min="1" max="1" width="2.28515625" customWidth="1"/>
    <col min="2" max="2" width="6.140625" customWidth="1"/>
    <col min="4" max="4" width="20.28515625" style="2" customWidth="1"/>
    <col min="5" max="5" width="17.7109375" style="2" customWidth="1"/>
    <col min="6" max="6" width="15.28515625" style="2" bestFit="1" customWidth="1"/>
    <col min="7" max="9" width="9.7109375" style="2" customWidth="1"/>
    <col min="10" max="13" width="9.7109375" customWidth="1"/>
    <col min="14" max="14" width="11.7109375" customWidth="1"/>
    <col min="15" max="36" width="9.7109375" customWidth="1"/>
    <col min="37" max="37" width="44.5703125" customWidth="1"/>
  </cols>
  <sheetData>
    <row r="2" spans="2:47" s="2" customFormat="1" ht="15.6">
      <c r="B2" s="118" t="s">
        <v>67</v>
      </c>
      <c r="C2" s="119"/>
      <c r="D2" s="119"/>
      <c r="E2" s="119"/>
      <c r="F2" s="119"/>
      <c r="G2" s="119"/>
      <c r="H2" s="119"/>
      <c r="I2" s="120"/>
      <c r="J2"/>
      <c r="K2"/>
      <c r="L2"/>
      <c r="M2"/>
      <c r="N2"/>
      <c r="O2"/>
      <c r="P2"/>
      <c r="Q2"/>
      <c r="R2"/>
      <c r="S2"/>
      <c r="T2"/>
    </row>
    <row r="3" spans="2:47" s="2" customFormat="1" ht="15" customHeight="1">
      <c r="B3" s="121" t="s">
        <v>23</v>
      </c>
      <c r="C3" s="123" t="s">
        <v>24</v>
      </c>
      <c r="D3" s="123" t="s">
        <v>28</v>
      </c>
      <c r="E3" s="123" t="s">
        <v>29</v>
      </c>
      <c r="F3" s="125" t="s">
        <v>27</v>
      </c>
      <c r="G3" s="108">
        <v>2025</v>
      </c>
      <c r="H3" s="109">
        <v>2025</v>
      </c>
      <c r="I3" s="109">
        <v>2025</v>
      </c>
      <c r="J3" s="109">
        <v>2025</v>
      </c>
      <c r="K3" s="109">
        <v>2025</v>
      </c>
      <c r="L3" s="110">
        <v>2025</v>
      </c>
      <c r="M3" s="108">
        <v>2024</v>
      </c>
      <c r="N3" s="109">
        <v>2024</v>
      </c>
      <c r="O3" s="109">
        <v>2024</v>
      </c>
      <c r="P3" s="109">
        <v>2024</v>
      </c>
      <c r="Q3" s="109">
        <v>2024</v>
      </c>
      <c r="R3" s="110">
        <v>2024</v>
      </c>
      <c r="S3" s="108">
        <v>2023</v>
      </c>
      <c r="T3" s="109">
        <v>2023</v>
      </c>
      <c r="U3" s="109">
        <v>2023</v>
      </c>
      <c r="V3" s="109">
        <v>2023</v>
      </c>
      <c r="W3" s="109">
        <v>2023</v>
      </c>
      <c r="X3" s="110">
        <v>2023</v>
      </c>
      <c r="Y3" s="108">
        <v>2022</v>
      </c>
      <c r="Z3" s="109">
        <v>2022</v>
      </c>
      <c r="AA3" s="109">
        <v>2022</v>
      </c>
      <c r="AB3" s="109">
        <v>2022</v>
      </c>
      <c r="AC3" s="109">
        <v>2022</v>
      </c>
      <c r="AD3" s="110">
        <v>2022</v>
      </c>
      <c r="AE3" s="108">
        <v>2021</v>
      </c>
      <c r="AF3" s="109">
        <v>2021</v>
      </c>
      <c r="AG3" s="109">
        <v>2021</v>
      </c>
      <c r="AH3" s="109">
        <v>2021</v>
      </c>
      <c r="AI3" s="109">
        <v>2021</v>
      </c>
      <c r="AJ3" s="110">
        <v>2021</v>
      </c>
      <c r="AK3" s="63"/>
      <c r="AL3" s="127" t="s">
        <v>42</v>
      </c>
      <c r="AM3" s="117"/>
      <c r="AN3" s="117"/>
      <c r="AO3" s="117"/>
      <c r="AP3" s="117"/>
      <c r="AQ3" s="117"/>
      <c r="AR3" s="117" t="s">
        <v>43</v>
      </c>
      <c r="AS3" s="117"/>
      <c r="AT3" s="117"/>
      <c r="AU3" s="117"/>
    </row>
    <row r="4" spans="2:47" s="3" customFormat="1" ht="15" customHeight="1">
      <c r="B4" s="122"/>
      <c r="C4" s="124"/>
      <c r="D4" s="124"/>
      <c r="E4" s="124"/>
      <c r="F4" s="126"/>
      <c r="G4" s="53" t="s">
        <v>44</v>
      </c>
      <c r="H4" s="48" t="s">
        <v>179</v>
      </c>
      <c r="I4" s="48" t="s">
        <v>45</v>
      </c>
      <c r="J4" s="48" t="s">
        <v>46</v>
      </c>
      <c r="K4" s="48" t="s">
        <v>47</v>
      </c>
      <c r="L4" s="49" t="s">
        <v>48</v>
      </c>
      <c r="M4" s="53" t="s">
        <v>44</v>
      </c>
      <c r="N4" s="48" t="s">
        <v>179</v>
      </c>
      <c r="O4" s="48" t="s">
        <v>45</v>
      </c>
      <c r="P4" s="48" t="s">
        <v>46</v>
      </c>
      <c r="Q4" s="48" t="s">
        <v>47</v>
      </c>
      <c r="R4" s="49" t="s">
        <v>48</v>
      </c>
      <c r="S4" s="53" t="s">
        <v>44</v>
      </c>
      <c r="T4" s="48" t="s">
        <v>179</v>
      </c>
      <c r="U4" s="48" t="s">
        <v>45</v>
      </c>
      <c r="V4" s="48" t="s">
        <v>46</v>
      </c>
      <c r="W4" s="48" t="s">
        <v>47</v>
      </c>
      <c r="X4" s="49" t="s">
        <v>48</v>
      </c>
      <c r="Y4" s="53" t="s">
        <v>44</v>
      </c>
      <c r="Z4" s="48" t="s">
        <v>179</v>
      </c>
      <c r="AA4" s="48" t="s">
        <v>45</v>
      </c>
      <c r="AB4" s="48" t="s">
        <v>46</v>
      </c>
      <c r="AC4" s="48" t="s">
        <v>47</v>
      </c>
      <c r="AD4" s="49" t="s">
        <v>48</v>
      </c>
      <c r="AE4" s="53" t="s">
        <v>44</v>
      </c>
      <c r="AF4" s="48" t="s">
        <v>179</v>
      </c>
      <c r="AG4" s="48" t="s">
        <v>45</v>
      </c>
      <c r="AH4" s="48" t="s">
        <v>46</v>
      </c>
      <c r="AI4" s="48" t="s">
        <v>47</v>
      </c>
      <c r="AJ4" s="49" t="s">
        <v>48</v>
      </c>
      <c r="AK4" s="64" t="s">
        <v>49</v>
      </c>
      <c r="AL4" s="27" t="s">
        <v>50</v>
      </c>
      <c r="AM4" s="23" t="s">
        <v>51</v>
      </c>
      <c r="AN4" s="23" t="s">
        <v>52</v>
      </c>
      <c r="AO4" s="23" t="s">
        <v>53</v>
      </c>
      <c r="AP4" s="23" t="s">
        <v>54</v>
      </c>
      <c r="AQ4" s="23" t="s">
        <v>55</v>
      </c>
      <c r="AR4" s="23" t="s">
        <v>56</v>
      </c>
      <c r="AS4" s="23" t="s">
        <v>51</v>
      </c>
      <c r="AT4" s="23" t="s">
        <v>57</v>
      </c>
      <c r="AU4" s="23" t="s">
        <v>58</v>
      </c>
    </row>
    <row r="5" spans="2:47" s="2" customFormat="1">
      <c r="B5" s="41">
        <v>1</v>
      </c>
      <c r="C5" s="42" t="s">
        <v>0</v>
      </c>
      <c r="D5" s="43" t="s">
        <v>80</v>
      </c>
      <c r="E5" s="43" t="s">
        <v>42</v>
      </c>
      <c r="F5" s="50">
        <v>25</v>
      </c>
      <c r="G5" s="54">
        <v>45727</v>
      </c>
      <c r="H5" s="44">
        <v>2</v>
      </c>
      <c r="I5" s="45">
        <v>3</v>
      </c>
      <c r="J5" s="45">
        <v>2</v>
      </c>
      <c r="K5" s="45">
        <v>3</v>
      </c>
      <c r="L5" s="55" t="s">
        <v>70</v>
      </c>
      <c r="M5" s="54">
        <v>45362</v>
      </c>
      <c r="N5" s="44">
        <v>2</v>
      </c>
      <c r="O5" s="45">
        <v>3</v>
      </c>
      <c r="P5" s="45">
        <v>2</v>
      </c>
      <c r="Q5" s="45">
        <v>3</v>
      </c>
      <c r="R5" s="47"/>
      <c r="S5" s="54">
        <v>44987</v>
      </c>
      <c r="T5" s="44">
        <v>3</v>
      </c>
      <c r="U5" s="45">
        <v>3</v>
      </c>
      <c r="V5" s="45">
        <v>3</v>
      </c>
      <c r="W5" s="45">
        <v>3</v>
      </c>
      <c r="X5" s="47"/>
      <c r="Y5" s="60"/>
      <c r="Z5" s="44"/>
      <c r="AA5" s="44"/>
      <c r="AB5" s="44"/>
      <c r="AC5" s="44"/>
      <c r="AD5" s="47"/>
      <c r="AE5" s="69"/>
      <c r="AF5" s="46"/>
      <c r="AG5" s="46"/>
      <c r="AH5" s="46"/>
      <c r="AI5" s="46"/>
      <c r="AJ5" s="70"/>
      <c r="AK5" s="65" t="s">
        <v>50</v>
      </c>
    </row>
    <row r="6" spans="2:47" s="2" customFormat="1">
      <c r="B6" s="4">
        <v>2</v>
      </c>
      <c r="C6" s="1" t="s">
        <v>1</v>
      </c>
      <c r="D6" s="5" t="s">
        <v>80</v>
      </c>
      <c r="E6" s="5" t="s">
        <v>88</v>
      </c>
      <c r="F6" s="51">
        <v>147</v>
      </c>
      <c r="G6" s="56">
        <v>46021</v>
      </c>
      <c r="H6" s="29">
        <v>2</v>
      </c>
      <c r="I6" s="37">
        <v>2</v>
      </c>
      <c r="J6" s="37">
        <v>2</v>
      </c>
      <c r="K6" s="37">
        <v>3</v>
      </c>
      <c r="L6" s="57" t="s">
        <v>71</v>
      </c>
      <c r="M6" s="56">
        <v>45505</v>
      </c>
      <c r="N6" s="29">
        <v>2</v>
      </c>
      <c r="O6" s="37">
        <v>2</v>
      </c>
      <c r="P6" s="37">
        <v>2</v>
      </c>
      <c r="Q6" s="37">
        <v>3</v>
      </c>
      <c r="R6" s="38"/>
      <c r="S6" s="56">
        <v>44966</v>
      </c>
      <c r="T6" s="29">
        <v>3</v>
      </c>
      <c r="U6" s="37">
        <v>3</v>
      </c>
      <c r="V6" s="37">
        <v>3</v>
      </c>
      <c r="W6" s="37">
        <v>3</v>
      </c>
      <c r="X6" s="38"/>
      <c r="Y6" s="61"/>
      <c r="Z6" s="29"/>
      <c r="AA6" s="29"/>
      <c r="AB6" s="29"/>
      <c r="AC6" s="29"/>
      <c r="AD6" s="38"/>
      <c r="AE6" s="71"/>
      <c r="AF6" s="30"/>
      <c r="AG6" s="30"/>
      <c r="AH6" s="30"/>
      <c r="AI6" s="30"/>
      <c r="AJ6" s="31"/>
      <c r="AK6" s="66" t="s">
        <v>57</v>
      </c>
    </row>
    <row r="7" spans="2:47" s="2" customFormat="1">
      <c r="B7" s="4">
        <v>3</v>
      </c>
      <c r="C7" s="1" t="s">
        <v>2</v>
      </c>
      <c r="D7" s="5" t="s">
        <v>80</v>
      </c>
      <c r="E7" s="5" t="s">
        <v>88</v>
      </c>
      <c r="F7" s="51">
        <v>32</v>
      </c>
      <c r="G7" s="56">
        <v>46020</v>
      </c>
      <c r="H7" s="29">
        <v>2</v>
      </c>
      <c r="I7" s="37">
        <v>3</v>
      </c>
      <c r="J7" s="37">
        <v>2</v>
      </c>
      <c r="K7" s="37">
        <v>4</v>
      </c>
      <c r="L7" s="57" t="s">
        <v>72</v>
      </c>
      <c r="M7" s="56">
        <v>45507</v>
      </c>
      <c r="N7" s="29">
        <v>2</v>
      </c>
      <c r="O7" s="37">
        <v>3</v>
      </c>
      <c r="P7" s="37">
        <v>2</v>
      </c>
      <c r="Q7" s="37">
        <v>4</v>
      </c>
      <c r="R7" s="38"/>
      <c r="S7" s="56">
        <v>45209</v>
      </c>
      <c r="T7" s="29">
        <v>2</v>
      </c>
      <c r="U7" s="37">
        <v>3</v>
      </c>
      <c r="V7" s="37">
        <v>2</v>
      </c>
      <c r="W7" s="37">
        <v>4</v>
      </c>
      <c r="X7" s="38"/>
      <c r="Y7" s="61"/>
      <c r="Z7" s="29"/>
      <c r="AA7" s="29"/>
      <c r="AB7" s="29"/>
      <c r="AC7" s="29"/>
      <c r="AD7" s="38"/>
      <c r="AE7" s="71"/>
      <c r="AF7" s="30"/>
      <c r="AG7" s="30"/>
      <c r="AH7" s="30"/>
      <c r="AI7" s="30"/>
      <c r="AJ7" s="31"/>
      <c r="AK7" s="67" t="s">
        <v>50</v>
      </c>
    </row>
    <row r="8" spans="2:47" s="2" customFormat="1">
      <c r="B8" s="4">
        <v>4</v>
      </c>
      <c r="C8" s="1" t="s">
        <v>3</v>
      </c>
      <c r="D8" s="5" t="s">
        <v>80</v>
      </c>
      <c r="E8" s="5" t="s">
        <v>88</v>
      </c>
      <c r="F8" s="51">
        <v>100</v>
      </c>
      <c r="G8" s="56">
        <v>46020</v>
      </c>
      <c r="H8" s="29">
        <v>2</v>
      </c>
      <c r="I8" s="37">
        <v>3</v>
      </c>
      <c r="J8" s="37">
        <v>2</v>
      </c>
      <c r="K8" s="37">
        <v>3</v>
      </c>
      <c r="L8" s="57" t="s">
        <v>73</v>
      </c>
      <c r="M8" s="56">
        <v>45332</v>
      </c>
      <c r="N8" s="29">
        <v>2</v>
      </c>
      <c r="O8" s="37">
        <v>2</v>
      </c>
      <c r="P8" s="37">
        <v>2</v>
      </c>
      <c r="Q8" s="37">
        <v>3</v>
      </c>
      <c r="R8" s="38"/>
      <c r="S8" s="56">
        <v>45190</v>
      </c>
      <c r="T8" s="29">
        <v>3</v>
      </c>
      <c r="U8" s="37">
        <v>3</v>
      </c>
      <c r="V8" s="37">
        <v>3</v>
      </c>
      <c r="W8" s="37">
        <v>3</v>
      </c>
      <c r="X8" s="38"/>
      <c r="Y8" s="61"/>
      <c r="Z8" s="29"/>
      <c r="AA8" s="29"/>
      <c r="AB8" s="29"/>
      <c r="AC8" s="29"/>
      <c r="AD8" s="38"/>
      <c r="AE8" s="71"/>
      <c r="AF8" s="30"/>
      <c r="AG8" s="30"/>
      <c r="AH8" s="30"/>
      <c r="AI8" s="30"/>
      <c r="AJ8" s="31"/>
      <c r="AK8" s="67" t="s">
        <v>57</v>
      </c>
    </row>
    <row r="9" spans="2:47" s="2" customFormat="1">
      <c r="B9" s="4">
        <v>5</v>
      </c>
      <c r="C9" s="1" t="s">
        <v>4</v>
      </c>
      <c r="D9" s="5" t="s">
        <v>80</v>
      </c>
      <c r="E9" s="5" t="s">
        <v>88</v>
      </c>
      <c r="F9" s="51">
        <v>240</v>
      </c>
      <c r="G9" s="56">
        <v>46013</v>
      </c>
      <c r="H9" s="29">
        <v>2</v>
      </c>
      <c r="I9" s="37">
        <v>3</v>
      </c>
      <c r="J9" s="37">
        <v>2</v>
      </c>
      <c r="K9" s="37">
        <v>3</v>
      </c>
      <c r="L9" s="57" t="s">
        <v>73</v>
      </c>
      <c r="M9" s="56">
        <v>45332</v>
      </c>
      <c r="N9" s="29">
        <v>2</v>
      </c>
      <c r="O9" s="37">
        <v>2</v>
      </c>
      <c r="P9" s="37">
        <v>2</v>
      </c>
      <c r="Q9" s="37">
        <v>3</v>
      </c>
      <c r="R9" s="38"/>
      <c r="S9" s="56">
        <v>45191</v>
      </c>
      <c r="T9" s="29">
        <v>3</v>
      </c>
      <c r="U9" s="37">
        <v>3</v>
      </c>
      <c r="V9" s="37">
        <v>3</v>
      </c>
      <c r="W9" s="37">
        <v>3</v>
      </c>
      <c r="X9" s="38"/>
      <c r="Y9" s="61"/>
      <c r="Z9" s="29"/>
      <c r="AA9" s="29"/>
      <c r="AB9" s="29"/>
      <c r="AC9" s="29"/>
      <c r="AD9" s="38"/>
      <c r="AE9" s="71"/>
      <c r="AF9" s="30"/>
      <c r="AG9" s="30"/>
      <c r="AH9" s="30"/>
      <c r="AI9" s="30"/>
      <c r="AJ9" s="31"/>
      <c r="AK9" s="67" t="s">
        <v>57</v>
      </c>
    </row>
    <row r="10" spans="2:47" s="2" customFormat="1">
      <c r="B10" s="4">
        <v>6</v>
      </c>
      <c r="C10" s="1" t="s">
        <v>5</v>
      </c>
      <c r="D10" s="5" t="s">
        <v>80</v>
      </c>
      <c r="E10" s="5" t="s">
        <v>88</v>
      </c>
      <c r="F10" s="51">
        <v>25</v>
      </c>
      <c r="G10" s="56">
        <v>45736</v>
      </c>
      <c r="H10" s="29">
        <v>2</v>
      </c>
      <c r="I10" s="29">
        <v>2</v>
      </c>
      <c r="J10" s="29">
        <v>2</v>
      </c>
      <c r="K10" s="29">
        <v>3</v>
      </c>
      <c r="L10" s="57" t="s">
        <v>72</v>
      </c>
      <c r="M10" s="56"/>
      <c r="N10" s="29"/>
      <c r="O10" s="37"/>
      <c r="P10" s="37"/>
      <c r="Q10" s="37"/>
      <c r="R10" s="38"/>
      <c r="S10" s="56"/>
      <c r="T10" s="29"/>
      <c r="U10" s="37"/>
      <c r="V10" s="37"/>
      <c r="W10" s="37"/>
      <c r="X10" s="38"/>
      <c r="Y10" s="61"/>
      <c r="Z10" s="29"/>
      <c r="AA10" s="29"/>
      <c r="AB10" s="29"/>
      <c r="AC10" s="29"/>
      <c r="AD10" s="38"/>
      <c r="AE10" s="71"/>
      <c r="AF10" s="30"/>
      <c r="AG10" s="30"/>
      <c r="AH10" s="30"/>
      <c r="AI10" s="30"/>
      <c r="AJ10" s="31"/>
      <c r="AK10" s="66" t="s">
        <v>50</v>
      </c>
    </row>
    <row r="11" spans="2:47" s="2" customFormat="1">
      <c r="B11" s="4">
        <v>7</v>
      </c>
      <c r="C11" s="1" t="s">
        <v>6</v>
      </c>
      <c r="D11" s="5" t="s">
        <v>80</v>
      </c>
      <c r="E11" s="5" t="s">
        <v>42</v>
      </c>
      <c r="F11" s="51">
        <v>147</v>
      </c>
      <c r="G11" s="56">
        <v>45867</v>
      </c>
      <c r="H11" s="29">
        <v>3</v>
      </c>
      <c r="I11" s="37">
        <v>3</v>
      </c>
      <c r="J11" s="37">
        <v>3</v>
      </c>
      <c r="K11" s="37">
        <v>4</v>
      </c>
      <c r="L11" s="57">
        <v>0</v>
      </c>
      <c r="M11" s="56">
        <v>45492</v>
      </c>
      <c r="N11" s="29">
        <v>3</v>
      </c>
      <c r="O11" s="37">
        <v>3</v>
      </c>
      <c r="P11" s="37">
        <v>3</v>
      </c>
      <c r="Q11" s="37">
        <v>4</v>
      </c>
      <c r="R11" s="38"/>
      <c r="S11" s="56">
        <v>45156</v>
      </c>
      <c r="T11" s="29">
        <v>3</v>
      </c>
      <c r="U11" s="37">
        <v>3</v>
      </c>
      <c r="V11" s="37">
        <v>3</v>
      </c>
      <c r="W11" s="37">
        <v>4</v>
      </c>
      <c r="X11" s="38"/>
      <c r="Y11" s="61"/>
      <c r="Z11" s="29"/>
      <c r="AA11" s="29"/>
      <c r="AB11" s="29"/>
      <c r="AC11" s="29"/>
      <c r="AD11" s="38"/>
      <c r="AE11" s="71"/>
      <c r="AF11" s="30"/>
      <c r="AG11" s="30"/>
      <c r="AH11" s="30"/>
      <c r="AI11" s="30"/>
      <c r="AJ11" s="31"/>
      <c r="AK11" s="67" t="s">
        <v>50</v>
      </c>
    </row>
    <row r="12" spans="2:47" s="2" customFormat="1">
      <c r="B12" s="4">
        <v>8</v>
      </c>
      <c r="C12" s="1" t="s">
        <v>7</v>
      </c>
      <c r="D12" s="5" t="s">
        <v>80</v>
      </c>
      <c r="E12" s="5" t="s">
        <v>100</v>
      </c>
      <c r="F12" s="51">
        <v>16</v>
      </c>
      <c r="G12" s="56">
        <v>45889</v>
      </c>
      <c r="H12" s="29">
        <v>4</v>
      </c>
      <c r="I12" s="37">
        <v>4</v>
      </c>
      <c r="J12" s="37">
        <v>4</v>
      </c>
      <c r="K12" s="37">
        <v>4</v>
      </c>
      <c r="L12" s="31"/>
      <c r="M12" s="56">
        <v>45530</v>
      </c>
      <c r="N12" s="29">
        <v>2</v>
      </c>
      <c r="O12" s="37">
        <v>3</v>
      </c>
      <c r="P12" s="37">
        <v>2</v>
      </c>
      <c r="Q12" s="37">
        <v>3</v>
      </c>
      <c r="R12" s="57" t="s">
        <v>74</v>
      </c>
      <c r="S12" s="56">
        <v>45270</v>
      </c>
      <c r="T12" s="29">
        <v>2</v>
      </c>
      <c r="U12" s="37">
        <v>3</v>
      </c>
      <c r="V12" s="37">
        <v>2</v>
      </c>
      <c r="W12" s="37">
        <v>3</v>
      </c>
      <c r="X12" s="38"/>
      <c r="Y12" s="61"/>
      <c r="Z12" s="29"/>
      <c r="AA12" s="29"/>
      <c r="AB12" s="29"/>
      <c r="AC12" s="29"/>
      <c r="AD12" s="38"/>
      <c r="AE12" s="71"/>
      <c r="AF12" s="30"/>
      <c r="AG12" s="30"/>
      <c r="AH12" s="30"/>
      <c r="AI12" s="30"/>
      <c r="AJ12" s="31"/>
      <c r="AK12" s="67" t="s">
        <v>56</v>
      </c>
    </row>
    <row r="13" spans="2:47" s="2" customFormat="1">
      <c r="B13" s="4">
        <v>9</v>
      </c>
      <c r="C13" s="1" t="s">
        <v>8</v>
      </c>
      <c r="D13" s="5" t="s">
        <v>80</v>
      </c>
      <c r="E13" s="5" t="s">
        <v>42</v>
      </c>
      <c r="F13" s="51">
        <v>41</v>
      </c>
      <c r="G13" s="56">
        <v>45883</v>
      </c>
      <c r="H13" s="29">
        <v>2</v>
      </c>
      <c r="I13" s="37">
        <v>3</v>
      </c>
      <c r="J13" s="37">
        <v>2</v>
      </c>
      <c r="K13" s="37">
        <v>3</v>
      </c>
      <c r="L13" s="57" t="s">
        <v>72</v>
      </c>
      <c r="M13" s="56">
        <v>45533</v>
      </c>
      <c r="N13" s="29">
        <v>2</v>
      </c>
      <c r="O13" s="37">
        <v>3</v>
      </c>
      <c r="P13" s="37">
        <v>2</v>
      </c>
      <c r="Q13" s="37">
        <v>3</v>
      </c>
      <c r="R13" s="38"/>
      <c r="S13" s="56">
        <v>45217</v>
      </c>
      <c r="T13" s="29">
        <v>2</v>
      </c>
      <c r="U13" s="37">
        <v>3</v>
      </c>
      <c r="V13" s="37">
        <v>2</v>
      </c>
      <c r="W13" s="37">
        <v>3</v>
      </c>
      <c r="X13" s="38"/>
      <c r="Y13" s="61"/>
      <c r="Z13" s="29"/>
      <c r="AA13" s="29"/>
      <c r="AB13" s="29"/>
      <c r="AC13" s="29"/>
      <c r="AD13" s="38"/>
      <c r="AE13" s="71"/>
      <c r="AF13" s="30"/>
      <c r="AG13" s="30"/>
      <c r="AH13" s="30"/>
      <c r="AI13" s="30"/>
      <c r="AJ13" s="31"/>
      <c r="AK13" s="67" t="s">
        <v>50</v>
      </c>
    </row>
    <row r="14" spans="2:47" s="2" customFormat="1">
      <c r="B14" s="4">
        <v>10</v>
      </c>
      <c r="C14" s="1" t="s">
        <v>9</v>
      </c>
      <c r="D14" s="5" t="s">
        <v>80</v>
      </c>
      <c r="E14" s="5" t="s">
        <v>42</v>
      </c>
      <c r="F14" s="51">
        <v>102</v>
      </c>
      <c r="G14" s="56">
        <v>45912</v>
      </c>
      <c r="H14" s="29">
        <v>3</v>
      </c>
      <c r="I14" s="37">
        <v>3</v>
      </c>
      <c r="J14" s="37">
        <v>3</v>
      </c>
      <c r="K14" s="37">
        <v>4</v>
      </c>
      <c r="L14" s="57">
        <v>0</v>
      </c>
      <c r="M14" s="56">
        <v>45559</v>
      </c>
      <c r="N14" s="29">
        <v>3</v>
      </c>
      <c r="O14" s="37">
        <v>3</v>
      </c>
      <c r="P14" s="37">
        <v>3</v>
      </c>
      <c r="Q14" s="37">
        <v>4</v>
      </c>
      <c r="R14" s="38"/>
      <c r="S14" s="56">
        <v>45189</v>
      </c>
      <c r="T14" s="29">
        <v>3</v>
      </c>
      <c r="U14" s="37">
        <v>3</v>
      </c>
      <c r="V14" s="37">
        <v>3</v>
      </c>
      <c r="W14" s="37">
        <v>4</v>
      </c>
      <c r="X14" s="38"/>
      <c r="Y14" s="61"/>
      <c r="Z14" s="29"/>
      <c r="AA14" s="29"/>
      <c r="AB14" s="29"/>
      <c r="AC14" s="29"/>
      <c r="AD14" s="38"/>
      <c r="AE14" s="61"/>
      <c r="AF14" s="29"/>
      <c r="AG14" s="30"/>
      <c r="AH14" s="30"/>
      <c r="AI14" s="30"/>
      <c r="AJ14" s="31"/>
      <c r="AK14" s="67" t="s">
        <v>54</v>
      </c>
    </row>
    <row r="15" spans="2:47" s="2" customFormat="1">
      <c r="B15" s="4">
        <v>11</v>
      </c>
      <c r="C15" s="1" t="s">
        <v>10</v>
      </c>
      <c r="D15" s="5" t="s">
        <v>80</v>
      </c>
      <c r="E15" s="5" t="s">
        <v>42</v>
      </c>
      <c r="F15" s="51">
        <v>244</v>
      </c>
      <c r="G15" s="56">
        <v>45910</v>
      </c>
      <c r="H15" s="29">
        <v>3</v>
      </c>
      <c r="I15" s="37">
        <v>3</v>
      </c>
      <c r="J15" s="37">
        <v>3</v>
      </c>
      <c r="K15" s="37">
        <v>3</v>
      </c>
      <c r="L15" s="57">
        <v>0</v>
      </c>
      <c r="M15" s="56">
        <v>45558</v>
      </c>
      <c r="N15" s="29">
        <v>3</v>
      </c>
      <c r="O15" s="37">
        <v>3</v>
      </c>
      <c r="P15" s="37">
        <v>3</v>
      </c>
      <c r="Q15" s="37">
        <v>3</v>
      </c>
      <c r="R15" s="38"/>
      <c r="S15" s="56">
        <v>45194</v>
      </c>
      <c r="T15" s="29">
        <v>3</v>
      </c>
      <c r="U15" s="37">
        <v>3</v>
      </c>
      <c r="V15" s="37">
        <v>3</v>
      </c>
      <c r="W15" s="37">
        <v>3</v>
      </c>
      <c r="X15" s="38"/>
      <c r="Y15" s="61"/>
      <c r="Z15" s="29"/>
      <c r="AA15" s="29"/>
      <c r="AB15" s="29"/>
      <c r="AC15" s="29"/>
      <c r="AD15" s="38"/>
      <c r="AE15" s="61"/>
      <c r="AF15" s="29"/>
      <c r="AG15" s="29"/>
      <c r="AH15" s="29"/>
      <c r="AI15" s="29"/>
      <c r="AJ15" s="31"/>
      <c r="AK15" s="67" t="s">
        <v>54</v>
      </c>
    </row>
    <row r="16" spans="2:47" s="2" customFormat="1">
      <c r="B16" s="4">
        <v>12</v>
      </c>
      <c r="C16" s="1" t="s">
        <v>11</v>
      </c>
      <c r="D16" s="5" t="s">
        <v>101</v>
      </c>
      <c r="E16" s="5" t="s">
        <v>42</v>
      </c>
      <c r="F16" s="51">
        <v>152</v>
      </c>
      <c r="G16" s="56">
        <v>45939</v>
      </c>
      <c r="H16" s="29">
        <v>2</v>
      </c>
      <c r="I16" s="37">
        <v>3</v>
      </c>
      <c r="J16" s="37">
        <v>2</v>
      </c>
      <c r="K16" s="37">
        <v>3</v>
      </c>
      <c r="L16" s="57" t="s">
        <v>73</v>
      </c>
      <c r="M16" s="56">
        <v>45573</v>
      </c>
      <c r="N16" s="29">
        <v>3</v>
      </c>
      <c r="O16" s="37">
        <v>3</v>
      </c>
      <c r="P16" s="37">
        <v>3</v>
      </c>
      <c r="Q16" s="37">
        <v>4</v>
      </c>
      <c r="R16" s="38"/>
      <c r="S16" s="56"/>
      <c r="T16" s="29"/>
      <c r="U16" s="37"/>
      <c r="V16" s="37"/>
      <c r="W16" s="37"/>
      <c r="X16" s="38"/>
      <c r="Y16" s="61"/>
      <c r="Z16" s="29"/>
      <c r="AA16" s="29"/>
      <c r="AB16" s="29"/>
      <c r="AC16" s="29"/>
      <c r="AD16" s="38"/>
      <c r="AE16" s="61"/>
      <c r="AF16" s="29"/>
      <c r="AG16" s="30"/>
      <c r="AH16" s="30"/>
      <c r="AI16" s="30"/>
      <c r="AJ16" s="31"/>
      <c r="AK16" s="67" t="s">
        <v>57</v>
      </c>
    </row>
    <row r="17" spans="2:37" s="2" customFormat="1">
      <c r="B17" s="4">
        <v>13</v>
      </c>
      <c r="C17" s="1" t="s">
        <v>12</v>
      </c>
      <c r="D17" s="5" t="s">
        <v>101</v>
      </c>
      <c r="E17" s="5" t="s">
        <v>42</v>
      </c>
      <c r="F17" s="51">
        <v>260</v>
      </c>
      <c r="G17" s="56">
        <v>45940</v>
      </c>
      <c r="H17" s="29">
        <v>3</v>
      </c>
      <c r="I17" s="37">
        <v>3</v>
      </c>
      <c r="J17" s="37">
        <v>3</v>
      </c>
      <c r="K17" s="37">
        <v>3</v>
      </c>
      <c r="L17" s="57">
        <v>0</v>
      </c>
      <c r="M17" s="56">
        <v>45589</v>
      </c>
      <c r="N17" s="29">
        <v>3</v>
      </c>
      <c r="O17" s="37">
        <v>3</v>
      </c>
      <c r="P17" s="37">
        <v>3</v>
      </c>
      <c r="Q17" s="37">
        <v>3</v>
      </c>
      <c r="R17" s="38"/>
      <c r="S17" s="56"/>
      <c r="T17" s="29"/>
      <c r="U17" s="37"/>
      <c r="V17" s="37"/>
      <c r="W17" s="37"/>
      <c r="X17" s="38"/>
      <c r="Y17" s="61"/>
      <c r="Z17" s="29"/>
      <c r="AA17" s="29"/>
      <c r="AB17" s="29"/>
      <c r="AC17" s="29"/>
      <c r="AD17" s="38"/>
      <c r="AE17" s="61"/>
      <c r="AF17" s="29"/>
      <c r="AG17" s="30"/>
      <c r="AH17" s="30"/>
      <c r="AI17" s="30"/>
      <c r="AJ17" s="31"/>
      <c r="AK17" s="67" t="s">
        <v>54</v>
      </c>
    </row>
    <row r="18" spans="2:37" s="2" customFormat="1">
      <c r="B18" s="4">
        <v>14</v>
      </c>
      <c r="C18" s="1" t="s">
        <v>13</v>
      </c>
      <c r="D18" s="5" t="s">
        <v>80</v>
      </c>
      <c r="E18" s="5" t="s">
        <v>105</v>
      </c>
      <c r="F18" s="51">
        <v>492</v>
      </c>
      <c r="G18" s="56">
        <v>45797</v>
      </c>
      <c r="H18" s="29">
        <v>3</v>
      </c>
      <c r="I18" s="37">
        <v>3</v>
      </c>
      <c r="J18" s="37">
        <v>3</v>
      </c>
      <c r="K18" s="37">
        <v>4</v>
      </c>
      <c r="L18" s="57" t="s">
        <v>75</v>
      </c>
      <c r="M18" s="56"/>
      <c r="N18" s="29"/>
      <c r="O18" s="37"/>
      <c r="P18" s="37"/>
      <c r="Q18" s="37"/>
      <c r="R18" s="38"/>
      <c r="S18" s="56">
        <v>45083</v>
      </c>
      <c r="T18" s="29">
        <v>3</v>
      </c>
      <c r="U18" s="37">
        <v>3</v>
      </c>
      <c r="V18" s="37">
        <v>3</v>
      </c>
      <c r="W18" s="37">
        <v>4</v>
      </c>
      <c r="X18" s="38"/>
      <c r="Y18" s="61"/>
      <c r="Z18" s="29"/>
      <c r="AA18" s="29"/>
      <c r="AB18" s="29"/>
      <c r="AC18" s="29"/>
      <c r="AD18" s="38"/>
      <c r="AE18" s="61"/>
      <c r="AF18" s="29"/>
      <c r="AG18" s="30"/>
      <c r="AH18" s="30"/>
      <c r="AI18" s="30"/>
      <c r="AJ18" s="31"/>
      <c r="AK18" s="67" t="s">
        <v>50</v>
      </c>
    </row>
    <row r="19" spans="2:37" s="2" customFormat="1">
      <c r="B19" s="4">
        <v>15</v>
      </c>
      <c r="C19" s="1" t="s">
        <v>14</v>
      </c>
      <c r="D19" s="5" t="s">
        <v>80</v>
      </c>
      <c r="E19" s="5" t="s">
        <v>105</v>
      </c>
      <c r="F19" s="51">
        <v>142</v>
      </c>
      <c r="G19" s="56">
        <v>45749</v>
      </c>
      <c r="H19" s="29">
        <v>3</v>
      </c>
      <c r="I19" s="37">
        <v>3</v>
      </c>
      <c r="J19" s="37">
        <v>3</v>
      </c>
      <c r="K19" s="37">
        <v>4</v>
      </c>
      <c r="L19" s="57" t="s">
        <v>71</v>
      </c>
      <c r="M19" s="56"/>
      <c r="N19" s="29"/>
      <c r="O19" s="37"/>
      <c r="P19" s="37"/>
      <c r="Q19" s="37"/>
      <c r="R19" s="38"/>
      <c r="S19" s="56">
        <v>45071</v>
      </c>
      <c r="T19" s="29">
        <v>3</v>
      </c>
      <c r="U19" s="37">
        <v>3</v>
      </c>
      <c r="V19" s="37">
        <v>3</v>
      </c>
      <c r="W19" s="37">
        <v>4</v>
      </c>
      <c r="X19" s="38"/>
      <c r="Y19" s="61"/>
      <c r="Z19" s="29"/>
      <c r="AA19" s="29"/>
      <c r="AB19" s="29"/>
      <c r="AC19" s="29"/>
      <c r="AD19" s="38"/>
      <c r="AE19" s="71"/>
      <c r="AF19" s="30"/>
      <c r="AG19" s="30"/>
      <c r="AH19" s="30"/>
      <c r="AI19" s="30"/>
      <c r="AJ19" s="31"/>
      <c r="AK19" s="67" t="s">
        <v>57</v>
      </c>
    </row>
    <row r="20" spans="2:37" s="2" customFormat="1">
      <c r="B20" s="4">
        <v>16</v>
      </c>
      <c r="C20" s="1" t="s">
        <v>15</v>
      </c>
      <c r="D20" s="5" t="s">
        <v>80</v>
      </c>
      <c r="E20" s="5" t="s">
        <v>105</v>
      </c>
      <c r="F20" s="51">
        <v>460</v>
      </c>
      <c r="G20" s="56">
        <v>45890</v>
      </c>
      <c r="H20" s="29">
        <v>2</v>
      </c>
      <c r="I20" s="37">
        <v>2</v>
      </c>
      <c r="J20" s="37">
        <v>2</v>
      </c>
      <c r="K20" s="37">
        <v>3</v>
      </c>
      <c r="L20" s="57" t="s">
        <v>76</v>
      </c>
      <c r="M20" s="56">
        <v>45576</v>
      </c>
      <c r="N20" s="29">
        <v>2</v>
      </c>
      <c r="O20" s="37">
        <v>3</v>
      </c>
      <c r="P20" s="37">
        <v>2</v>
      </c>
      <c r="Q20" s="37">
        <v>3</v>
      </c>
      <c r="R20" s="38"/>
      <c r="S20" s="56">
        <v>45190</v>
      </c>
      <c r="T20" s="29">
        <v>2</v>
      </c>
      <c r="U20" s="37">
        <v>3</v>
      </c>
      <c r="V20" s="37">
        <v>2</v>
      </c>
      <c r="W20" s="37">
        <v>4</v>
      </c>
      <c r="X20" s="38"/>
      <c r="Y20" s="61"/>
      <c r="Z20" s="29"/>
      <c r="AA20" s="29"/>
      <c r="AB20" s="29"/>
      <c r="AC20" s="29"/>
      <c r="AD20" s="38"/>
      <c r="AE20" s="61"/>
      <c r="AF20" s="29"/>
      <c r="AG20" s="30"/>
      <c r="AH20" s="30"/>
      <c r="AI20" s="30"/>
      <c r="AJ20" s="31"/>
      <c r="AK20" s="66" t="s">
        <v>57</v>
      </c>
    </row>
    <row r="21" spans="2:37" s="2" customFormat="1">
      <c r="B21" s="4">
        <v>17</v>
      </c>
      <c r="C21" s="1" t="s">
        <v>16</v>
      </c>
      <c r="D21" s="5" t="s">
        <v>101</v>
      </c>
      <c r="E21" s="5" t="s">
        <v>105</v>
      </c>
      <c r="F21" s="51">
        <v>464</v>
      </c>
      <c r="G21" s="56">
        <v>45894</v>
      </c>
      <c r="H21" s="29">
        <v>2</v>
      </c>
      <c r="I21" s="37">
        <v>3</v>
      </c>
      <c r="J21" s="37">
        <v>2</v>
      </c>
      <c r="K21" s="37">
        <v>4</v>
      </c>
      <c r="L21" s="57" t="s">
        <v>77</v>
      </c>
      <c r="M21" s="56">
        <v>45558</v>
      </c>
      <c r="N21" s="29">
        <v>2</v>
      </c>
      <c r="O21" s="37">
        <v>3</v>
      </c>
      <c r="P21" s="37">
        <v>2</v>
      </c>
      <c r="Q21" s="37">
        <v>4</v>
      </c>
      <c r="R21" s="38"/>
      <c r="S21" s="56">
        <v>45163</v>
      </c>
      <c r="T21" s="29">
        <v>1</v>
      </c>
      <c r="U21" s="37">
        <v>1</v>
      </c>
      <c r="V21" s="37">
        <v>2</v>
      </c>
      <c r="W21" s="37">
        <v>4</v>
      </c>
      <c r="X21" s="38"/>
      <c r="Y21" s="61"/>
      <c r="Z21" s="29"/>
      <c r="AA21" s="29"/>
      <c r="AB21" s="29"/>
      <c r="AC21" s="29"/>
      <c r="AD21" s="38"/>
      <c r="AE21" s="61"/>
      <c r="AF21" s="29"/>
      <c r="AG21" s="30"/>
      <c r="AH21" s="30"/>
      <c r="AI21" s="30"/>
      <c r="AJ21" s="31"/>
      <c r="AK21" s="67" t="s">
        <v>78</v>
      </c>
    </row>
    <row r="22" spans="2:37" s="2" customFormat="1">
      <c r="B22" s="4">
        <v>18</v>
      </c>
      <c r="C22" s="1" t="s">
        <v>17</v>
      </c>
      <c r="D22" s="5" t="s">
        <v>101</v>
      </c>
      <c r="E22" s="5" t="s">
        <v>105</v>
      </c>
      <c r="F22" s="51">
        <v>579</v>
      </c>
      <c r="G22" s="56">
        <v>45929</v>
      </c>
      <c r="H22" s="29">
        <v>2</v>
      </c>
      <c r="I22" s="37">
        <v>3</v>
      </c>
      <c r="J22" s="37">
        <v>2</v>
      </c>
      <c r="K22" s="37">
        <v>3</v>
      </c>
      <c r="L22" s="57" t="s">
        <v>73</v>
      </c>
      <c r="M22" s="56">
        <v>45553</v>
      </c>
      <c r="N22" s="29">
        <v>2</v>
      </c>
      <c r="O22" s="37">
        <v>3</v>
      </c>
      <c r="P22" s="37">
        <v>2</v>
      </c>
      <c r="Q22" s="37">
        <v>4</v>
      </c>
      <c r="R22" s="38"/>
      <c r="S22" s="56">
        <v>45160</v>
      </c>
      <c r="T22" s="29">
        <v>1</v>
      </c>
      <c r="U22" s="37">
        <v>1</v>
      </c>
      <c r="V22" s="37">
        <v>2</v>
      </c>
      <c r="W22" s="37">
        <v>4</v>
      </c>
      <c r="X22" s="38"/>
      <c r="Y22" s="61"/>
      <c r="Z22" s="29"/>
      <c r="AA22" s="29"/>
      <c r="AB22" s="29"/>
      <c r="AC22" s="29"/>
      <c r="AD22" s="38"/>
      <c r="AE22" s="61"/>
      <c r="AF22" s="29"/>
      <c r="AG22" s="30"/>
      <c r="AH22" s="30"/>
      <c r="AI22" s="30"/>
      <c r="AJ22" s="31"/>
      <c r="AK22" s="67" t="s">
        <v>57</v>
      </c>
    </row>
    <row r="23" spans="2:37" s="2" customFormat="1">
      <c r="B23" s="4">
        <v>19</v>
      </c>
      <c r="C23" s="1" t="s">
        <v>18</v>
      </c>
      <c r="D23" s="5" t="s">
        <v>80</v>
      </c>
      <c r="E23" s="5" t="s">
        <v>100</v>
      </c>
      <c r="F23" s="51">
        <v>410</v>
      </c>
      <c r="G23" s="56">
        <v>45863</v>
      </c>
      <c r="H23" s="29">
        <v>3</v>
      </c>
      <c r="I23" s="37">
        <v>3</v>
      </c>
      <c r="J23" s="37">
        <v>3</v>
      </c>
      <c r="K23" s="37">
        <v>3</v>
      </c>
      <c r="L23" s="57">
        <v>0</v>
      </c>
      <c r="M23" s="56">
        <v>45498</v>
      </c>
      <c r="N23" s="29">
        <v>3</v>
      </c>
      <c r="O23" s="37">
        <v>3</v>
      </c>
      <c r="P23" s="37">
        <v>3</v>
      </c>
      <c r="Q23" s="37">
        <v>4</v>
      </c>
      <c r="R23" s="38"/>
      <c r="S23" s="56">
        <v>45148</v>
      </c>
      <c r="T23" s="29">
        <v>3</v>
      </c>
      <c r="U23" s="37">
        <v>4</v>
      </c>
      <c r="V23" s="37">
        <v>3</v>
      </c>
      <c r="W23" s="37">
        <v>3</v>
      </c>
      <c r="X23" s="38"/>
      <c r="Y23" s="61"/>
      <c r="Z23" s="29"/>
      <c r="AA23" s="29"/>
      <c r="AB23" s="29"/>
      <c r="AC23" s="29"/>
      <c r="AD23" s="38"/>
      <c r="AE23" s="61"/>
      <c r="AF23" s="29"/>
      <c r="AG23" s="30"/>
      <c r="AH23" s="30"/>
      <c r="AI23" s="30"/>
      <c r="AJ23" s="31"/>
      <c r="AK23" s="67" t="s">
        <v>56</v>
      </c>
    </row>
    <row r="24" spans="2:37" s="2" customFormat="1">
      <c r="B24" s="4">
        <v>20</v>
      </c>
      <c r="C24" s="1" t="s">
        <v>19</v>
      </c>
      <c r="D24" s="5" t="s">
        <v>101</v>
      </c>
      <c r="E24" s="5" t="s">
        <v>42</v>
      </c>
      <c r="F24" s="51">
        <v>260</v>
      </c>
      <c r="G24" s="56">
        <v>45840</v>
      </c>
      <c r="H24" s="29">
        <v>2</v>
      </c>
      <c r="I24" s="37">
        <v>2</v>
      </c>
      <c r="J24" s="37">
        <v>2</v>
      </c>
      <c r="K24" s="37">
        <v>2</v>
      </c>
      <c r="L24" s="57" t="s">
        <v>73</v>
      </c>
      <c r="M24" s="56">
        <v>45477</v>
      </c>
      <c r="N24" s="29">
        <v>2</v>
      </c>
      <c r="O24" s="37">
        <v>3</v>
      </c>
      <c r="P24" s="37">
        <v>2</v>
      </c>
      <c r="Q24" s="37">
        <v>2</v>
      </c>
      <c r="R24" s="38"/>
      <c r="S24" s="56">
        <v>45110</v>
      </c>
      <c r="T24" s="29">
        <v>2</v>
      </c>
      <c r="U24" s="37">
        <v>3</v>
      </c>
      <c r="V24" s="37">
        <v>2</v>
      </c>
      <c r="W24" s="37">
        <v>3</v>
      </c>
      <c r="X24" s="38"/>
      <c r="Y24" s="61"/>
      <c r="Z24" s="29"/>
      <c r="AA24" s="29"/>
      <c r="AB24" s="29"/>
      <c r="AC24" s="29"/>
      <c r="AD24" s="57"/>
      <c r="AE24" s="71"/>
      <c r="AF24" s="30"/>
      <c r="AG24" s="30"/>
      <c r="AH24" s="30"/>
      <c r="AI24" s="30"/>
      <c r="AJ24" s="31"/>
      <c r="AK24" s="66" t="s">
        <v>57</v>
      </c>
    </row>
    <row r="25" spans="2:37" s="2" customFormat="1">
      <c r="B25" s="4">
        <v>21</v>
      </c>
      <c r="C25" s="1" t="s">
        <v>20</v>
      </c>
      <c r="D25" s="5" t="s">
        <v>101</v>
      </c>
      <c r="E25" s="5" t="s">
        <v>100</v>
      </c>
      <c r="F25" s="51">
        <v>11</v>
      </c>
      <c r="G25" s="56">
        <v>45835</v>
      </c>
      <c r="H25" s="29">
        <v>3</v>
      </c>
      <c r="I25" s="37">
        <v>3</v>
      </c>
      <c r="J25" s="37">
        <v>3</v>
      </c>
      <c r="K25" s="37">
        <v>4</v>
      </c>
      <c r="L25" s="57">
        <v>0</v>
      </c>
      <c r="M25" s="56"/>
      <c r="N25" s="29"/>
      <c r="O25" s="37"/>
      <c r="P25" s="37"/>
      <c r="Q25" s="37"/>
      <c r="R25" s="38"/>
      <c r="S25" s="56">
        <v>45096</v>
      </c>
      <c r="T25" s="29">
        <v>3</v>
      </c>
      <c r="U25" s="37">
        <v>3</v>
      </c>
      <c r="V25" s="37">
        <v>3</v>
      </c>
      <c r="W25" s="37">
        <v>4</v>
      </c>
      <c r="X25" s="38"/>
      <c r="Y25" s="61"/>
      <c r="Z25" s="29"/>
      <c r="AA25" s="29"/>
      <c r="AB25" s="29"/>
      <c r="AC25" s="29"/>
      <c r="AD25" s="38"/>
      <c r="AE25" s="71"/>
      <c r="AF25" s="30"/>
      <c r="AG25" s="30"/>
      <c r="AH25" s="30"/>
      <c r="AI25" s="30"/>
      <c r="AJ25" s="31"/>
      <c r="AK25" s="67" t="s">
        <v>56</v>
      </c>
    </row>
    <row r="26" spans="2:37" s="2" customFormat="1">
      <c r="B26" s="4">
        <v>22</v>
      </c>
      <c r="C26" s="1" t="s">
        <v>21</v>
      </c>
      <c r="D26" s="5" t="s">
        <v>101</v>
      </c>
      <c r="E26" s="5" t="s">
        <v>100</v>
      </c>
      <c r="F26" s="51">
        <v>81</v>
      </c>
      <c r="G26" s="56">
        <v>45852</v>
      </c>
      <c r="H26" s="29">
        <v>3</v>
      </c>
      <c r="I26" s="37">
        <v>3</v>
      </c>
      <c r="J26" s="37">
        <v>3</v>
      </c>
      <c r="K26" s="37">
        <v>3</v>
      </c>
      <c r="L26" s="57">
        <v>0</v>
      </c>
      <c r="M26" s="56">
        <v>45485</v>
      </c>
      <c r="N26" s="29">
        <v>3</v>
      </c>
      <c r="O26" s="37">
        <v>3</v>
      </c>
      <c r="P26" s="37">
        <v>3</v>
      </c>
      <c r="Q26" s="37">
        <v>3</v>
      </c>
      <c r="R26" s="38"/>
      <c r="S26" s="56">
        <v>45121</v>
      </c>
      <c r="T26" s="29">
        <v>3</v>
      </c>
      <c r="U26" s="37">
        <v>3</v>
      </c>
      <c r="V26" s="37">
        <v>3</v>
      </c>
      <c r="W26" s="37">
        <v>3</v>
      </c>
      <c r="X26" s="38"/>
      <c r="Y26" s="61"/>
      <c r="Z26" s="29"/>
      <c r="AA26" s="29"/>
      <c r="AB26" s="29"/>
      <c r="AC26" s="29"/>
      <c r="AD26" s="38"/>
      <c r="AE26" s="61"/>
      <c r="AF26" s="29"/>
      <c r="AG26" s="30"/>
      <c r="AH26" s="30"/>
      <c r="AI26" s="30"/>
      <c r="AJ26" s="31"/>
      <c r="AK26" s="67" t="s">
        <v>56</v>
      </c>
    </row>
    <row r="27" spans="2:37" s="2" customFormat="1">
      <c r="B27" s="4">
        <v>23</v>
      </c>
      <c r="C27" s="1" t="s">
        <v>22</v>
      </c>
      <c r="D27" s="5" t="s">
        <v>101</v>
      </c>
      <c r="E27" s="5" t="s">
        <v>100</v>
      </c>
      <c r="F27" s="51">
        <v>26</v>
      </c>
      <c r="G27" s="56">
        <v>45686</v>
      </c>
      <c r="H27" s="29">
        <v>2</v>
      </c>
      <c r="I27" s="37">
        <v>4</v>
      </c>
      <c r="J27" s="37">
        <v>3</v>
      </c>
      <c r="K27" s="37">
        <v>2</v>
      </c>
      <c r="L27" s="57" t="s">
        <v>79</v>
      </c>
      <c r="M27" s="56">
        <v>45309</v>
      </c>
      <c r="N27" s="29">
        <v>2</v>
      </c>
      <c r="O27" s="37">
        <v>4</v>
      </c>
      <c r="P27" s="37">
        <v>3</v>
      </c>
      <c r="Q27" s="37">
        <v>2</v>
      </c>
      <c r="R27" s="38"/>
      <c r="S27" s="56">
        <v>45034</v>
      </c>
      <c r="T27" s="29">
        <v>2</v>
      </c>
      <c r="U27" s="37">
        <v>4</v>
      </c>
      <c r="V27" s="37">
        <v>3</v>
      </c>
      <c r="W27" s="37">
        <v>2</v>
      </c>
      <c r="X27" s="38"/>
      <c r="Y27" s="61"/>
      <c r="Z27" s="29"/>
      <c r="AA27" s="29"/>
      <c r="AB27" s="29"/>
      <c r="AC27" s="29"/>
      <c r="AD27" s="38"/>
      <c r="AE27" s="71"/>
      <c r="AF27" s="30"/>
      <c r="AG27" s="30"/>
      <c r="AH27" s="30"/>
      <c r="AI27" s="30"/>
      <c r="AJ27" s="31"/>
      <c r="AK27" s="67" t="s">
        <v>176</v>
      </c>
    </row>
    <row r="28" spans="2:37" s="2" customFormat="1">
      <c r="B28" s="4">
        <v>24</v>
      </c>
      <c r="C28" s="1" t="s">
        <v>25</v>
      </c>
      <c r="D28" s="5" t="s">
        <v>116</v>
      </c>
      <c r="E28" s="5" t="s">
        <v>117</v>
      </c>
      <c r="F28" s="51">
        <v>159</v>
      </c>
      <c r="G28" s="56">
        <v>45783</v>
      </c>
      <c r="H28" s="29">
        <v>3</v>
      </c>
      <c r="I28" s="37">
        <v>3</v>
      </c>
      <c r="J28" s="37">
        <v>3</v>
      </c>
      <c r="K28" s="37"/>
      <c r="L28" s="57"/>
      <c r="M28" s="56"/>
      <c r="N28" s="29"/>
      <c r="O28" s="37"/>
      <c r="P28" s="37"/>
      <c r="Q28" s="37"/>
      <c r="R28" s="38"/>
      <c r="S28" s="56">
        <v>45099</v>
      </c>
      <c r="T28" s="29">
        <v>3</v>
      </c>
      <c r="U28" s="37">
        <v>3</v>
      </c>
      <c r="V28" s="37"/>
      <c r="W28" s="37"/>
      <c r="X28" s="38"/>
      <c r="Y28" s="61"/>
      <c r="Z28" s="29"/>
      <c r="AA28" s="29"/>
      <c r="AB28" s="29"/>
      <c r="AC28" s="29"/>
      <c r="AD28" s="38"/>
      <c r="AE28" s="71"/>
      <c r="AF28" s="30"/>
      <c r="AG28" s="30"/>
      <c r="AH28" s="30"/>
      <c r="AI28" s="30"/>
      <c r="AJ28" s="31"/>
      <c r="AK28" s="67" t="s">
        <v>50</v>
      </c>
    </row>
    <row r="29" spans="2:37" s="2" customFormat="1">
      <c r="B29" s="11">
        <v>25</v>
      </c>
      <c r="C29" s="12" t="s">
        <v>26</v>
      </c>
      <c r="D29" s="13" t="s">
        <v>116</v>
      </c>
      <c r="E29" s="13" t="s">
        <v>117</v>
      </c>
      <c r="F29" s="52">
        <v>256</v>
      </c>
      <c r="G29" s="58">
        <v>45784</v>
      </c>
      <c r="H29" s="32">
        <v>3</v>
      </c>
      <c r="I29" s="39">
        <v>3</v>
      </c>
      <c r="J29" s="39">
        <v>3</v>
      </c>
      <c r="K29" s="39"/>
      <c r="L29" s="59"/>
      <c r="M29" s="58"/>
      <c r="N29" s="32"/>
      <c r="O29" s="39"/>
      <c r="P29" s="39"/>
      <c r="Q29" s="39"/>
      <c r="R29" s="40"/>
      <c r="S29" s="58">
        <v>45126</v>
      </c>
      <c r="T29" s="32">
        <v>3</v>
      </c>
      <c r="U29" s="39">
        <v>3</v>
      </c>
      <c r="V29" s="39"/>
      <c r="W29" s="39"/>
      <c r="X29" s="40"/>
      <c r="Y29" s="62"/>
      <c r="Z29" s="32"/>
      <c r="AA29" s="32"/>
      <c r="AB29" s="32"/>
      <c r="AC29" s="32"/>
      <c r="AD29" s="40"/>
      <c r="AE29" s="72"/>
      <c r="AF29" s="33"/>
      <c r="AG29" s="33"/>
      <c r="AH29" s="33"/>
      <c r="AI29" s="33"/>
      <c r="AJ29" s="34"/>
      <c r="AK29" s="68" t="s">
        <v>52</v>
      </c>
    </row>
    <row r="30" spans="2:37">
      <c r="G30" s="35"/>
      <c r="H30" s="24"/>
      <c r="I30" s="36"/>
      <c r="J30" s="36"/>
      <c r="K30" s="36"/>
      <c r="L30" s="24"/>
      <c r="M30" s="35"/>
      <c r="N30" s="24"/>
      <c r="O30" s="36"/>
      <c r="P30" s="36"/>
      <c r="Q30" s="36"/>
      <c r="R30" s="24"/>
      <c r="S30" s="35"/>
      <c r="T30" s="24"/>
      <c r="U30" s="36"/>
      <c r="V30" s="36"/>
      <c r="W30" s="36"/>
      <c r="X30" s="24"/>
      <c r="Y30" s="25"/>
      <c r="Z30" s="24"/>
      <c r="AA30" s="24"/>
      <c r="AB30" s="24"/>
      <c r="AC30" s="24"/>
      <c r="AD30" s="24"/>
      <c r="AE30" s="26"/>
      <c r="AF30" s="26"/>
      <c r="AG30" s="26"/>
      <c r="AH30" s="26"/>
      <c r="AI30" s="26"/>
      <c r="AJ30" s="26"/>
      <c r="AK30" s="24"/>
    </row>
    <row r="35" spans="13:14">
      <c r="M35" t="s">
        <v>177</v>
      </c>
    </row>
    <row r="36" spans="13:14">
      <c r="M36" s="111">
        <v>0</v>
      </c>
      <c r="N36" s="111" t="s">
        <v>170</v>
      </c>
    </row>
    <row r="37" spans="13:14">
      <c r="M37" s="112">
        <v>1</v>
      </c>
      <c r="N37" s="112" t="s">
        <v>171</v>
      </c>
    </row>
    <row r="38" spans="13:14">
      <c r="M38" s="113">
        <v>2</v>
      </c>
      <c r="N38" s="113" t="s">
        <v>172</v>
      </c>
    </row>
    <row r="39" spans="13:14">
      <c r="M39" s="114">
        <v>3</v>
      </c>
      <c r="N39" s="114" t="s">
        <v>173</v>
      </c>
    </row>
    <row r="40" spans="13:14">
      <c r="M40" s="115">
        <v>4</v>
      </c>
      <c r="N40" s="115" t="s">
        <v>175</v>
      </c>
    </row>
    <row r="41" spans="13:14">
      <c r="M41" s="116">
        <v>5</v>
      </c>
      <c r="N41" s="116" t="s">
        <v>174</v>
      </c>
    </row>
  </sheetData>
  <autoFilter ref="B4:AU29" xr:uid="{28B54D0C-934C-4F4A-A3E9-D55E1003A2CD}"/>
  <mergeCells count="8">
    <mergeCell ref="AR3:AU3"/>
    <mergeCell ref="B2:I2"/>
    <mergeCell ref="B3:B4"/>
    <mergeCell ref="C3:C4"/>
    <mergeCell ref="D3:D4"/>
    <mergeCell ref="E3:E4"/>
    <mergeCell ref="F3:F4"/>
    <mergeCell ref="AL3:AQ3"/>
  </mergeCells>
  <conditionalFormatting sqref="H5:H30">
    <cfRule type="cellIs" dxfId="24" priority="3" operator="lessThanOrEqual">
      <formula>2</formula>
    </cfRule>
  </conditionalFormatting>
  <conditionalFormatting sqref="N5:N30">
    <cfRule type="cellIs" dxfId="23" priority="2" operator="lessThanOrEqual">
      <formula>2</formula>
    </cfRule>
  </conditionalFormatting>
  <conditionalFormatting sqref="T5:T30">
    <cfRule type="cellIs" dxfId="22" priority="1" operator="lessThanOrEqual">
      <formula>2</formula>
    </cfRule>
  </conditionalFormatting>
  <conditionalFormatting sqref="Z6">
    <cfRule type="cellIs" dxfId="21" priority="9" operator="lessThanOrEqual">
      <formula>2</formula>
    </cfRule>
  </conditionalFormatting>
  <conditionalFormatting sqref="Z11">
    <cfRule type="cellIs" dxfId="20" priority="8" operator="lessThanOrEqual">
      <formula>2</formula>
    </cfRule>
  </conditionalFormatting>
  <conditionalFormatting sqref="Z24">
    <cfRule type="cellIs" dxfId="19" priority="7" operator="lessThanOrEqual">
      <formula>2</formula>
    </cfRule>
  </conditionalFormatting>
  <conditionalFormatting sqref="AF14:AF18">
    <cfRule type="cellIs" dxfId="18" priority="6" operator="lessThanOrEqual">
      <formula>2</formula>
    </cfRule>
  </conditionalFormatting>
  <conditionalFormatting sqref="AF20:AF23">
    <cfRule type="cellIs" dxfId="17" priority="5" operator="lessThanOrEqual">
      <formula>2</formula>
    </cfRule>
  </conditionalFormatting>
  <conditionalFormatting sqref="AF26">
    <cfRule type="cellIs" dxfId="16" priority="4" operator="lessThanOrEqual">
      <formula>2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54D0C-934C-4F4A-A3E9-D55E1003A2CD}">
  <dimension ref="B2:AU29"/>
  <sheetViews>
    <sheetView showGridLines="0" zoomScale="110" zoomScaleNormal="110" workbookViewId="0">
      <pane xSplit="6" ySplit="4" topLeftCell="G29" activePane="bottomRight" state="frozen"/>
      <selection pane="topRight" activeCell="G1" sqref="G1"/>
      <selection pane="bottomLeft" activeCell="A4" sqref="A4"/>
      <selection pane="bottomRight" activeCell="AF5" sqref="AF5:AF29"/>
    </sheetView>
  </sheetViews>
  <sheetFormatPr defaultRowHeight="10.199999999999999"/>
  <cols>
    <col min="1" max="1" width="2.28515625" customWidth="1"/>
    <col min="2" max="2" width="6.140625" customWidth="1"/>
    <col min="4" max="4" width="21.28515625" style="2" customWidth="1"/>
    <col min="5" max="5" width="17.42578125" style="2" customWidth="1"/>
    <col min="6" max="6" width="15.28515625" style="2" bestFit="1" customWidth="1"/>
    <col min="7" max="9" width="9.7109375" style="2" customWidth="1"/>
    <col min="10" max="36" width="9.7109375" customWidth="1"/>
    <col min="37" max="37" width="27" customWidth="1"/>
  </cols>
  <sheetData>
    <row r="2" spans="2:47" s="2" customFormat="1" ht="15.6">
      <c r="B2" s="118" t="s">
        <v>68</v>
      </c>
      <c r="C2" s="119"/>
      <c r="D2" s="119"/>
      <c r="E2" s="119"/>
      <c r="F2" s="119"/>
      <c r="G2" s="119"/>
      <c r="H2" s="119"/>
      <c r="I2" s="120"/>
      <c r="J2"/>
      <c r="K2"/>
      <c r="L2"/>
      <c r="M2"/>
      <c r="N2"/>
      <c r="O2"/>
      <c r="P2"/>
      <c r="Q2"/>
      <c r="R2"/>
      <c r="S2"/>
      <c r="T2"/>
    </row>
    <row r="3" spans="2:47" s="2" customFormat="1" ht="15" customHeight="1">
      <c r="B3" s="121" t="s">
        <v>23</v>
      </c>
      <c r="C3" s="123" t="s">
        <v>24</v>
      </c>
      <c r="D3" s="123" t="s">
        <v>28</v>
      </c>
      <c r="E3" s="123" t="s">
        <v>29</v>
      </c>
      <c r="F3" s="125" t="s">
        <v>27</v>
      </c>
      <c r="G3" s="107">
        <v>2025</v>
      </c>
      <c r="H3" s="109">
        <v>2025</v>
      </c>
      <c r="I3" s="109">
        <v>2025</v>
      </c>
      <c r="J3" s="109">
        <v>2025</v>
      </c>
      <c r="K3" s="109">
        <v>2025</v>
      </c>
      <c r="L3" s="110">
        <v>2025</v>
      </c>
      <c r="M3" s="107">
        <v>2024</v>
      </c>
      <c r="N3" s="109">
        <v>2024</v>
      </c>
      <c r="O3" s="109">
        <v>2024</v>
      </c>
      <c r="P3" s="109">
        <v>2024</v>
      </c>
      <c r="Q3" s="109">
        <v>2024</v>
      </c>
      <c r="R3" s="110">
        <v>2024</v>
      </c>
      <c r="S3" s="108">
        <v>2023</v>
      </c>
      <c r="T3" s="109">
        <v>2023</v>
      </c>
      <c r="U3" s="109">
        <v>2023</v>
      </c>
      <c r="V3" s="109">
        <v>2023</v>
      </c>
      <c r="W3" s="109">
        <v>2023</v>
      </c>
      <c r="X3" s="110">
        <v>2023</v>
      </c>
      <c r="Y3" s="108">
        <v>2022</v>
      </c>
      <c r="Z3" s="109">
        <v>2022</v>
      </c>
      <c r="AA3" s="109">
        <v>2022</v>
      </c>
      <c r="AB3" s="109">
        <v>2022</v>
      </c>
      <c r="AC3" s="109">
        <v>2022</v>
      </c>
      <c r="AD3" s="110">
        <v>2022</v>
      </c>
      <c r="AE3" s="108">
        <v>2021</v>
      </c>
      <c r="AF3" s="109">
        <v>2021</v>
      </c>
      <c r="AG3" s="109">
        <v>2021</v>
      </c>
      <c r="AH3" s="109">
        <v>2021</v>
      </c>
      <c r="AI3" s="109">
        <v>2021</v>
      </c>
      <c r="AJ3" s="110">
        <v>2021</v>
      </c>
      <c r="AK3" s="63"/>
      <c r="AL3" s="127" t="s">
        <v>42</v>
      </c>
      <c r="AM3" s="117"/>
      <c r="AN3" s="117"/>
      <c r="AO3" s="117"/>
      <c r="AP3" s="117"/>
      <c r="AQ3" s="117"/>
      <c r="AR3" s="117" t="s">
        <v>43</v>
      </c>
      <c r="AS3" s="117"/>
      <c r="AT3" s="117"/>
      <c r="AU3" s="117"/>
    </row>
    <row r="4" spans="2:47" s="3" customFormat="1" ht="15" customHeight="1">
      <c r="B4" s="131"/>
      <c r="C4" s="132"/>
      <c r="D4" s="132"/>
      <c r="E4" s="132"/>
      <c r="F4" s="133"/>
      <c r="G4" s="73" t="s">
        <v>44</v>
      </c>
      <c r="H4" s="48" t="s">
        <v>179</v>
      </c>
      <c r="I4" s="22" t="s">
        <v>45</v>
      </c>
      <c r="J4" s="22" t="s">
        <v>46</v>
      </c>
      <c r="K4" s="22" t="s">
        <v>47</v>
      </c>
      <c r="L4" s="28" t="s">
        <v>48</v>
      </c>
      <c r="M4" s="73" t="s">
        <v>44</v>
      </c>
      <c r="N4" s="48" t="s">
        <v>179</v>
      </c>
      <c r="O4" s="22" t="s">
        <v>45</v>
      </c>
      <c r="P4" s="22" t="s">
        <v>46</v>
      </c>
      <c r="Q4" s="22" t="s">
        <v>47</v>
      </c>
      <c r="R4" s="28" t="s">
        <v>48</v>
      </c>
      <c r="S4" s="73" t="s">
        <v>44</v>
      </c>
      <c r="T4" s="48" t="s">
        <v>179</v>
      </c>
      <c r="U4" s="22" t="s">
        <v>45</v>
      </c>
      <c r="V4" s="22" t="s">
        <v>46</v>
      </c>
      <c r="W4" s="22" t="s">
        <v>47</v>
      </c>
      <c r="X4" s="28" t="s">
        <v>48</v>
      </c>
      <c r="Y4" s="73" t="s">
        <v>44</v>
      </c>
      <c r="Z4" s="48" t="s">
        <v>179</v>
      </c>
      <c r="AA4" s="22" t="s">
        <v>45</v>
      </c>
      <c r="AB4" s="22" t="s">
        <v>46</v>
      </c>
      <c r="AC4" s="22" t="s">
        <v>47</v>
      </c>
      <c r="AD4" s="28" t="s">
        <v>48</v>
      </c>
      <c r="AE4" s="73" t="s">
        <v>44</v>
      </c>
      <c r="AF4" s="48" t="s">
        <v>179</v>
      </c>
      <c r="AG4" s="22" t="s">
        <v>45</v>
      </c>
      <c r="AH4" s="22" t="s">
        <v>46</v>
      </c>
      <c r="AI4" s="22" t="s">
        <v>47</v>
      </c>
      <c r="AJ4" s="28" t="s">
        <v>48</v>
      </c>
      <c r="AK4" s="74" t="s">
        <v>49</v>
      </c>
      <c r="AL4" s="27" t="s">
        <v>50</v>
      </c>
      <c r="AM4" s="23" t="s">
        <v>51</v>
      </c>
      <c r="AN4" s="23" t="s">
        <v>52</v>
      </c>
      <c r="AO4" s="23" t="s">
        <v>53</v>
      </c>
      <c r="AP4" s="23" t="s">
        <v>54</v>
      </c>
      <c r="AQ4" s="23" t="s">
        <v>55</v>
      </c>
      <c r="AR4" s="23" t="s">
        <v>56</v>
      </c>
      <c r="AS4" s="23" t="s">
        <v>51</v>
      </c>
      <c r="AT4" s="23" t="s">
        <v>57</v>
      </c>
      <c r="AU4" s="23" t="s">
        <v>58</v>
      </c>
    </row>
    <row r="5" spans="2:47" s="2" customFormat="1">
      <c r="B5" s="4">
        <v>1</v>
      </c>
      <c r="C5" s="1" t="s">
        <v>0</v>
      </c>
      <c r="D5" s="5" t="s">
        <v>80</v>
      </c>
      <c r="E5" s="5" t="s">
        <v>42</v>
      </c>
      <c r="F5" s="51">
        <v>25</v>
      </c>
      <c r="G5" s="61"/>
      <c r="H5" s="29"/>
      <c r="I5" s="29"/>
      <c r="J5" s="29"/>
      <c r="K5" s="29"/>
      <c r="L5" s="38"/>
      <c r="M5" s="61">
        <v>45301</v>
      </c>
      <c r="N5" s="29">
        <v>2</v>
      </c>
      <c r="O5" s="29">
        <v>3</v>
      </c>
      <c r="P5" s="29">
        <v>3</v>
      </c>
      <c r="Q5" s="29">
        <v>2</v>
      </c>
      <c r="R5" s="38"/>
      <c r="S5" s="61"/>
      <c r="T5" s="29"/>
      <c r="U5" s="29"/>
      <c r="V5" s="29"/>
      <c r="W5" s="29"/>
      <c r="X5" s="38"/>
      <c r="Y5" s="61"/>
      <c r="Z5" s="29"/>
      <c r="AA5" s="29"/>
      <c r="AB5" s="29"/>
      <c r="AC5" s="29"/>
      <c r="AD5" s="38"/>
      <c r="AE5" s="71"/>
      <c r="AF5" s="30"/>
      <c r="AG5" s="30"/>
      <c r="AH5" s="30"/>
      <c r="AI5" s="30"/>
      <c r="AJ5" s="31"/>
      <c r="AK5" s="75" t="s">
        <v>59</v>
      </c>
    </row>
    <row r="6" spans="2:47" s="2" customFormat="1">
      <c r="B6" s="4">
        <v>2</v>
      </c>
      <c r="C6" s="1" t="s">
        <v>1</v>
      </c>
      <c r="D6" s="5" t="s">
        <v>80</v>
      </c>
      <c r="E6" s="5" t="s">
        <v>88</v>
      </c>
      <c r="F6" s="51">
        <v>147</v>
      </c>
      <c r="G6" s="61"/>
      <c r="H6" s="29"/>
      <c r="I6" s="29"/>
      <c r="J6" s="29"/>
      <c r="K6" s="29"/>
      <c r="L6" s="38"/>
      <c r="M6" s="61"/>
      <c r="N6" s="29"/>
      <c r="O6" s="29"/>
      <c r="P6" s="29"/>
      <c r="Q6" s="29"/>
      <c r="R6" s="38"/>
      <c r="S6" s="61"/>
      <c r="T6" s="29"/>
      <c r="U6" s="29"/>
      <c r="V6" s="29"/>
      <c r="W6" s="29"/>
      <c r="X6" s="38"/>
      <c r="Y6" s="61">
        <v>44824</v>
      </c>
      <c r="Z6" s="29">
        <v>3</v>
      </c>
      <c r="AA6" s="29">
        <v>3</v>
      </c>
      <c r="AB6" s="29">
        <v>3</v>
      </c>
      <c r="AC6" s="29">
        <v>3</v>
      </c>
      <c r="AD6" s="38"/>
      <c r="AE6" s="71"/>
      <c r="AF6" s="30"/>
      <c r="AG6" s="30"/>
      <c r="AH6" s="30"/>
      <c r="AI6" s="30"/>
      <c r="AJ6" s="31"/>
      <c r="AK6" s="75" t="s">
        <v>60</v>
      </c>
    </row>
    <row r="7" spans="2:47" s="2" customFormat="1">
      <c r="B7" s="4">
        <v>3</v>
      </c>
      <c r="C7" s="1" t="s">
        <v>2</v>
      </c>
      <c r="D7" s="5" t="s">
        <v>80</v>
      </c>
      <c r="E7" s="5" t="s">
        <v>88</v>
      </c>
      <c r="F7" s="51">
        <v>32</v>
      </c>
      <c r="G7" s="61"/>
      <c r="H7" s="29"/>
      <c r="I7" s="29"/>
      <c r="J7" s="29"/>
      <c r="K7" s="29"/>
      <c r="L7" s="38"/>
      <c r="M7" s="61"/>
      <c r="N7" s="29"/>
      <c r="O7" s="29"/>
      <c r="P7" s="29"/>
      <c r="Q7" s="29"/>
      <c r="R7" s="38"/>
      <c r="S7" s="61">
        <v>45209</v>
      </c>
      <c r="T7" s="29">
        <v>2</v>
      </c>
      <c r="U7" s="29">
        <v>3</v>
      </c>
      <c r="V7" s="29">
        <v>4</v>
      </c>
      <c r="W7" s="29">
        <v>2</v>
      </c>
      <c r="X7" s="38"/>
      <c r="Y7" s="61"/>
      <c r="Z7" s="29"/>
      <c r="AA7" s="29"/>
      <c r="AB7" s="29"/>
      <c r="AC7" s="29"/>
      <c r="AD7" s="38"/>
      <c r="AE7" s="71"/>
      <c r="AF7" s="30"/>
      <c r="AG7" s="30"/>
      <c r="AH7" s="30"/>
      <c r="AI7" s="30"/>
      <c r="AJ7" s="31"/>
      <c r="AK7" s="75" t="s">
        <v>59</v>
      </c>
    </row>
    <row r="8" spans="2:47" s="2" customFormat="1">
      <c r="B8" s="4">
        <v>4</v>
      </c>
      <c r="C8" s="1" t="s">
        <v>3</v>
      </c>
      <c r="D8" s="5" t="s">
        <v>80</v>
      </c>
      <c r="E8" s="5" t="s">
        <v>88</v>
      </c>
      <c r="F8" s="51">
        <v>100</v>
      </c>
      <c r="G8" s="61">
        <v>45708</v>
      </c>
      <c r="H8" s="29">
        <v>2</v>
      </c>
      <c r="I8" s="29">
        <v>3</v>
      </c>
      <c r="J8" s="29">
        <v>3</v>
      </c>
      <c r="K8" s="29">
        <v>2</v>
      </c>
      <c r="L8" s="38"/>
      <c r="M8" s="61"/>
      <c r="N8" s="29"/>
      <c r="O8" s="29"/>
      <c r="P8" s="29"/>
      <c r="Q8" s="29"/>
      <c r="R8" s="38"/>
      <c r="S8" s="61"/>
      <c r="T8" s="29"/>
      <c r="U8" s="29"/>
      <c r="V8" s="29"/>
      <c r="W8" s="29"/>
      <c r="X8" s="38"/>
      <c r="Y8" s="61"/>
      <c r="Z8" s="29"/>
      <c r="AA8" s="29"/>
      <c r="AB8" s="29"/>
      <c r="AC8" s="29"/>
      <c r="AD8" s="38"/>
      <c r="AE8" s="71"/>
      <c r="AF8" s="30"/>
      <c r="AG8" s="30"/>
      <c r="AH8" s="30"/>
      <c r="AI8" s="30"/>
      <c r="AJ8" s="31"/>
      <c r="AK8" s="75" t="s">
        <v>59</v>
      </c>
    </row>
    <row r="9" spans="2:47" s="2" customFormat="1">
      <c r="B9" s="4">
        <v>5</v>
      </c>
      <c r="C9" s="1" t="s">
        <v>4</v>
      </c>
      <c r="D9" s="5" t="s">
        <v>80</v>
      </c>
      <c r="E9" s="5" t="s">
        <v>88</v>
      </c>
      <c r="F9" s="51">
        <v>240</v>
      </c>
      <c r="G9" s="61">
        <v>45936</v>
      </c>
      <c r="H9" s="29">
        <v>2</v>
      </c>
      <c r="I9" s="29">
        <v>3</v>
      </c>
      <c r="J9" s="29">
        <v>3</v>
      </c>
      <c r="K9" s="29">
        <v>2</v>
      </c>
      <c r="L9" s="38"/>
      <c r="M9" s="61"/>
      <c r="N9" s="29"/>
      <c r="O9" s="29"/>
      <c r="P9" s="29"/>
      <c r="Q9" s="29"/>
      <c r="R9" s="38"/>
      <c r="S9" s="61"/>
      <c r="T9" s="29"/>
      <c r="U9" s="29"/>
      <c r="V9" s="29"/>
      <c r="W9" s="29"/>
      <c r="X9" s="38"/>
      <c r="Y9" s="61"/>
      <c r="Z9" s="29"/>
      <c r="AA9" s="29"/>
      <c r="AB9" s="29"/>
      <c r="AC9" s="29"/>
      <c r="AD9" s="38"/>
      <c r="AE9" s="71"/>
      <c r="AF9" s="30"/>
      <c r="AG9" s="30"/>
      <c r="AH9" s="30"/>
      <c r="AI9" s="30"/>
      <c r="AJ9" s="31"/>
      <c r="AK9" s="75" t="s">
        <v>59</v>
      </c>
    </row>
    <row r="10" spans="2:47" s="2" customFormat="1">
      <c r="B10" s="4">
        <v>6</v>
      </c>
      <c r="C10" s="1" t="s">
        <v>5</v>
      </c>
      <c r="D10" s="5" t="s">
        <v>80</v>
      </c>
      <c r="E10" s="5" t="s">
        <v>88</v>
      </c>
      <c r="F10" s="51">
        <v>25</v>
      </c>
      <c r="G10" s="61"/>
      <c r="H10" s="29"/>
      <c r="I10" s="29"/>
      <c r="J10" s="29"/>
      <c r="K10" s="29"/>
      <c r="L10" s="38"/>
      <c r="M10" s="61">
        <v>45301</v>
      </c>
      <c r="N10" s="29">
        <v>2</v>
      </c>
      <c r="O10" s="29">
        <v>2</v>
      </c>
      <c r="P10" s="29">
        <v>4</v>
      </c>
      <c r="Q10" s="29">
        <v>2</v>
      </c>
      <c r="R10" s="38"/>
      <c r="S10" s="61"/>
      <c r="T10" s="29"/>
      <c r="U10" s="29"/>
      <c r="V10" s="29"/>
      <c r="W10" s="29"/>
      <c r="X10" s="38"/>
      <c r="Y10" s="61"/>
      <c r="Z10" s="29"/>
      <c r="AA10" s="29"/>
      <c r="AB10" s="29"/>
      <c r="AC10" s="29"/>
      <c r="AD10" s="38"/>
      <c r="AE10" s="71"/>
      <c r="AF10" s="30"/>
      <c r="AG10" s="30"/>
      <c r="AH10" s="30"/>
      <c r="AI10" s="30"/>
      <c r="AJ10" s="31"/>
      <c r="AK10" s="76" t="s">
        <v>56</v>
      </c>
    </row>
    <row r="11" spans="2:47" s="2" customFormat="1">
      <c r="B11" s="4">
        <v>7</v>
      </c>
      <c r="C11" s="1" t="s">
        <v>6</v>
      </c>
      <c r="D11" s="5" t="s">
        <v>80</v>
      </c>
      <c r="E11" s="5" t="s">
        <v>42</v>
      </c>
      <c r="F11" s="51">
        <v>147</v>
      </c>
      <c r="G11" s="61"/>
      <c r="H11" s="29"/>
      <c r="I11" s="29"/>
      <c r="J11" s="29"/>
      <c r="K11" s="29"/>
      <c r="L11" s="38"/>
      <c r="M11" s="61"/>
      <c r="N11" s="29"/>
      <c r="O11" s="29"/>
      <c r="P11" s="29"/>
      <c r="Q11" s="29"/>
      <c r="R11" s="38"/>
      <c r="S11" s="61"/>
      <c r="T11" s="29"/>
      <c r="U11" s="29"/>
      <c r="V11" s="29"/>
      <c r="W11" s="29"/>
      <c r="X11" s="38"/>
      <c r="Y11" s="61">
        <v>44823</v>
      </c>
      <c r="Z11" s="29">
        <v>3</v>
      </c>
      <c r="AA11" s="29">
        <v>3</v>
      </c>
      <c r="AB11" s="29">
        <v>4</v>
      </c>
      <c r="AC11" s="29">
        <v>3</v>
      </c>
      <c r="AD11" s="38"/>
      <c r="AE11" s="71"/>
      <c r="AF11" s="30"/>
      <c r="AG11" s="30"/>
      <c r="AH11" s="30"/>
      <c r="AI11" s="30"/>
      <c r="AJ11" s="31"/>
      <c r="AK11" s="75" t="s">
        <v>54</v>
      </c>
    </row>
    <row r="12" spans="2:47" s="2" customFormat="1">
      <c r="B12" s="4">
        <v>8</v>
      </c>
      <c r="C12" s="1" t="s">
        <v>7</v>
      </c>
      <c r="D12" s="5" t="s">
        <v>80</v>
      </c>
      <c r="E12" s="5" t="s">
        <v>100</v>
      </c>
      <c r="F12" s="51">
        <v>16</v>
      </c>
      <c r="G12" s="61"/>
      <c r="H12" s="29"/>
      <c r="I12" s="29"/>
      <c r="J12" s="29"/>
      <c r="K12" s="29"/>
      <c r="L12" s="38"/>
      <c r="M12" s="61"/>
      <c r="N12" s="29"/>
      <c r="O12" s="29"/>
      <c r="P12" s="29"/>
      <c r="Q12" s="29"/>
      <c r="R12" s="38"/>
      <c r="S12" s="61">
        <v>45270</v>
      </c>
      <c r="T12" s="29">
        <v>2</v>
      </c>
      <c r="U12" s="29">
        <v>3</v>
      </c>
      <c r="V12" s="29">
        <v>3</v>
      </c>
      <c r="W12" s="29">
        <v>2</v>
      </c>
      <c r="X12" s="38"/>
      <c r="Y12" s="61"/>
      <c r="Z12" s="29"/>
      <c r="AA12" s="29"/>
      <c r="AB12" s="29"/>
      <c r="AC12" s="29"/>
      <c r="AD12" s="38"/>
      <c r="AE12" s="71"/>
      <c r="AF12" s="30"/>
      <c r="AG12" s="30"/>
      <c r="AH12" s="30"/>
      <c r="AI12" s="30"/>
      <c r="AJ12" s="31"/>
      <c r="AK12" s="75" t="s">
        <v>59</v>
      </c>
    </row>
    <row r="13" spans="2:47" s="2" customFormat="1">
      <c r="B13" s="4">
        <v>9</v>
      </c>
      <c r="C13" s="1" t="s">
        <v>8</v>
      </c>
      <c r="D13" s="5" t="s">
        <v>80</v>
      </c>
      <c r="E13" s="5" t="s">
        <v>42</v>
      </c>
      <c r="F13" s="51">
        <v>41</v>
      </c>
      <c r="G13" s="61"/>
      <c r="H13" s="29"/>
      <c r="I13" s="29"/>
      <c r="J13" s="29"/>
      <c r="K13" s="29"/>
      <c r="L13" s="38"/>
      <c r="M13" s="61"/>
      <c r="N13" s="29"/>
      <c r="O13" s="29"/>
      <c r="P13" s="29"/>
      <c r="Q13" s="29"/>
      <c r="R13" s="38"/>
      <c r="S13" s="61">
        <v>45217</v>
      </c>
      <c r="T13" s="29">
        <v>2</v>
      </c>
      <c r="U13" s="29">
        <v>3</v>
      </c>
      <c r="V13" s="29">
        <v>3</v>
      </c>
      <c r="W13" s="29">
        <v>2</v>
      </c>
      <c r="X13" s="38"/>
      <c r="Y13" s="61"/>
      <c r="Z13" s="29"/>
      <c r="AA13" s="29"/>
      <c r="AB13" s="29"/>
      <c r="AC13" s="29"/>
      <c r="AD13" s="38"/>
      <c r="AE13" s="71"/>
      <c r="AF13" s="30"/>
      <c r="AG13" s="30"/>
      <c r="AH13" s="30"/>
      <c r="AI13" s="30"/>
      <c r="AJ13" s="31"/>
      <c r="AK13" s="75" t="s">
        <v>59</v>
      </c>
    </row>
    <row r="14" spans="2:47" s="2" customFormat="1">
      <c r="B14" s="4">
        <v>10</v>
      </c>
      <c r="C14" s="1" t="s">
        <v>9</v>
      </c>
      <c r="D14" s="5" t="s">
        <v>80</v>
      </c>
      <c r="E14" s="5" t="s">
        <v>42</v>
      </c>
      <c r="F14" s="51">
        <v>102</v>
      </c>
      <c r="G14" s="61"/>
      <c r="H14" s="29"/>
      <c r="I14" s="29"/>
      <c r="J14" s="29"/>
      <c r="K14" s="29"/>
      <c r="L14" s="38"/>
      <c r="M14" s="61"/>
      <c r="N14" s="29"/>
      <c r="O14" s="29"/>
      <c r="P14" s="29"/>
      <c r="Q14" s="29"/>
      <c r="R14" s="38"/>
      <c r="S14" s="61"/>
      <c r="T14" s="29"/>
      <c r="U14" s="29"/>
      <c r="V14" s="29"/>
      <c r="W14" s="29"/>
      <c r="X14" s="38"/>
      <c r="Y14" s="61"/>
      <c r="Z14" s="29"/>
      <c r="AA14" s="29"/>
      <c r="AB14" s="29"/>
      <c r="AC14" s="29"/>
      <c r="AD14" s="38"/>
      <c r="AE14" s="61">
        <v>44520</v>
      </c>
      <c r="AF14" s="29">
        <v>3</v>
      </c>
      <c r="AG14" s="30">
        <v>3</v>
      </c>
      <c r="AH14" s="30">
        <v>4</v>
      </c>
      <c r="AI14" s="30">
        <v>3</v>
      </c>
      <c r="AJ14" s="31"/>
      <c r="AK14" s="75" t="s">
        <v>50</v>
      </c>
    </row>
    <row r="15" spans="2:47" s="2" customFormat="1">
      <c r="B15" s="4">
        <v>11</v>
      </c>
      <c r="C15" s="1" t="s">
        <v>10</v>
      </c>
      <c r="D15" s="5" t="s">
        <v>80</v>
      </c>
      <c r="E15" s="5" t="s">
        <v>42</v>
      </c>
      <c r="F15" s="51">
        <v>244</v>
      </c>
      <c r="G15" s="61"/>
      <c r="H15" s="29"/>
      <c r="I15" s="29"/>
      <c r="J15" s="29"/>
      <c r="K15" s="29"/>
      <c r="L15" s="38"/>
      <c r="M15" s="61"/>
      <c r="N15" s="29"/>
      <c r="O15" s="29"/>
      <c r="P15" s="29"/>
      <c r="Q15" s="29"/>
      <c r="R15" s="38"/>
      <c r="S15" s="61"/>
      <c r="T15" s="29"/>
      <c r="U15" s="29"/>
      <c r="V15" s="29"/>
      <c r="W15" s="29"/>
      <c r="X15" s="38"/>
      <c r="Y15" s="61"/>
      <c r="Z15" s="29"/>
      <c r="AA15" s="29"/>
      <c r="AB15" s="29"/>
      <c r="AC15" s="29"/>
      <c r="AD15" s="38"/>
      <c r="AE15" s="61">
        <v>44519</v>
      </c>
      <c r="AF15" s="29">
        <v>3</v>
      </c>
      <c r="AG15" s="29">
        <v>3</v>
      </c>
      <c r="AH15" s="29">
        <v>3</v>
      </c>
      <c r="AI15" s="29">
        <v>3</v>
      </c>
      <c r="AJ15" s="31"/>
      <c r="AK15" s="75" t="s">
        <v>50</v>
      </c>
    </row>
    <row r="16" spans="2:47" s="2" customFormat="1">
      <c r="B16" s="4">
        <v>12</v>
      </c>
      <c r="C16" s="1" t="s">
        <v>11</v>
      </c>
      <c r="D16" s="5" t="s">
        <v>101</v>
      </c>
      <c r="E16" s="5" t="s">
        <v>42</v>
      </c>
      <c r="F16" s="51">
        <v>152</v>
      </c>
      <c r="G16" s="61"/>
      <c r="H16" s="29"/>
      <c r="I16" s="29"/>
      <c r="J16" s="29"/>
      <c r="K16" s="29"/>
      <c r="L16" s="38"/>
      <c r="M16" s="61"/>
      <c r="N16" s="29"/>
      <c r="O16" s="29"/>
      <c r="P16" s="29"/>
      <c r="Q16" s="29"/>
      <c r="R16" s="38"/>
      <c r="S16" s="61"/>
      <c r="T16" s="29"/>
      <c r="U16" s="29"/>
      <c r="V16" s="29"/>
      <c r="W16" s="29"/>
      <c r="X16" s="38"/>
      <c r="Y16" s="61"/>
      <c r="Z16" s="29"/>
      <c r="AA16" s="29"/>
      <c r="AB16" s="29"/>
      <c r="AC16" s="29"/>
      <c r="AD16" s="38"/>
      <c r="AE16" s="61">
        <v>44559</v>
      </c>
      <c r="AF16" s="29">
        <v>3</v>
      </c>
      <c r="AG16" s="30">
        <v>3</v>
      </c>
      <c r="AH16" s="30">
        <v>4</v>
      </c>
      <c r="AI16" s="30">
        <v>3</v>
      </c>
      <c r="AJ16" s="31"/>
      <c r="AK16" s="75" t="s">
        <v>54</v>
      </c>
    </row>
    <row r="17" spans="2:37" s="2" customFormat="1">
      <c r="B17" s="4">
        <v>13</v>
      </c>
      <c r="C17" s="1" t="s">
        <v>12</v>
      </c>
      <c r="D17" s="5" t="s">
        <v>101</v>
      </c>
      <c r="E17" s="5" t="s">
        <v>42</v>
      </c>
      <c r="F17" s="51">
        <v>260</v>
      </c>
      <c r="G17" s="61"/>
      <c r="H17" s="29"/>
      <c r="I17" s="29"/>
      <c r="J17" s="29"/>
      <c r="K17" s="29"/>
      <c r="L17" s="38"/>
      <c r="M17" s="61"/>
      <c r="N17" s="29"/>
      <c r="O17" s="29"/>
      <c r="P17" s="29"/>
      <c r="Q17" s="29"/>
      <c r="R17" s="38"/>
      <c r="S17" s="61"/>
      <c r="T17" s="29"/>
      <c r="U17" s="29"/>
      <c r="V17" s="29"/>
      <c r="W17" s="29"/>
      <c r="X17" s="38"/>
      <c r="Y17" s="61"/>
      <c r="Z17" s="29"/>
      <c r="AA17" s="29"/>
      <c r="AB17" s="29"/>
      <c r="AC17" s="29"/>
      <c r="AD17" s="38"/>
      <c r="AE17" s="61">
        <v>44550</v>
      </c>
      <c r="AF17" s="29">
        <v>3</v>
      </c>
      <c r="AG17" s="30">
        <v>3</v>
      </c>
      <c r="AH17" s="30">
        <v>3</v>
      </c>
      <c r="AI17" s="30">
        <v>3</v>
      </c>
      <c r="AJ17" s="31"/>
      <c r="AK17" s="75" t="s">
        <v>54</v>
      </c>
    </row>
    <row r="18" spans="2:37" s="2" customFormat="1">
      <c r="B18" s="4">
        <v>14</v>
      </c>
      <c r="C18" s="1" t="s">
        <v>13</v>
      </c>
      <c r="D18" s="5" t="s">
        <v>80</v>
      </c>
      <c r="E18" s="5" t="s">
        <v>105</v>
      </c>
      <c r="F18" s="51">
        <v>492</v>
      </c>
      <c r="G18" s="61"/>
      <c r="H18" s="29"/>
      <c r="I18" s="29"/>
      <c r="J18" s="29"/>
      <c r="K18" s="29"/>
      <c r="L18" s="38"/>
      <c r="M18" s="61"/>
      <c r="N18" s="29"/>
      <c r="O18" s="29"/>
      <c r="P18" s="29"/>
      <c r="Q18" s="29"/>
      <c r="R18" s="38"/>
      <c r="S18" s="61"/>
      <c r="T18" s="29"/>
      <c r="U18" s="29"/>
      <c r="V18" s="29"/>
      <c r="W18" s="29"/>
      <c r="X18" s="38"/>
      <c r="Y18" s="61"/>
      <c r="Z18" s="29"/>
      <c r="AA18" s="29"/>
      <c r="AB18" s="29"/>
      <c r="AC18" s="29"/>
      <c r="AD18" s="38"/>
      <c r="AE18" s="61">
        <v>44428</v>
      </c>
      <c r="AF18" s="29">
        <v>3</v>
      </c>
      <c r="AG18" s="30">
        <v>3</v>
      </c>
      <c r="AH18" s="30">
        <v>4</v>
      </c>
      <c r="AI18" s="30">
        <v>3</v>
      </c>
      <c r="AJ18" s="31"/>
      <c r="AK18" s="75" t="s">
        <v>56</v>
      </c>
    </row>
    <row r="19" spans="2:37" s="2" customFormat="1">
      <c r="B19" s="4">
        <v>15</v>
      </c>
      <c r="C19" s="1" t="s">
        <v>14</v>
      </c>
      <c r="D19" s="5" t="s">
        <v>80</v>
      </c>
      <c r="E19" s="5" t="s">
        <v>105</v>
      </c>
      <c r="F19" s="51">
        <v>142</v>
      </c>
      <c r="G19" s="61">
        <v>45667</v>
      </c>
      <c r="H19" s="29">
        <v>3</v>
      </c>
      <c r="I19" s="29">
        <v>3</v>
      </c>
      <c r="J19" s="29">
        <v>4</v>
      </c>
      <c r="K19" s="29">
        <v>3</v>
      </c>
      <c r="L19" s="38"/>
      <c r="M19" s="61"/>
      <c r="N19" s="29"/>
      <c r="O19" s="29"/>
      <c r="P19" s="29"/>
      <c r="Q19" s="29"/>
      <c r="R19" s="38"/>
      <c r="S19" s="61"/>
      <c r="T19" s="29"/>
      <c r="U19" s="29"/>
      <c r="V19" s="29"/>
      <c r="W19" s="29"/>
      <c r="X19" s="38"/>
      <c r="Y19" s="61"/>
      <c r="Z19" s="29"/>
      <c r="AA19" s="29"/>
      <c r="AB19" s="29"/>
      <c r="AC19" s="29"/>
      <c r="AD19" s="38"/>
      <c r="AE19" s="71"/>
      <c r="AF19" s="30"/>
      <c r="AG19" s="30"/>
      <c r="AH19" s="30"/>
      <c r="AI19" s="30"/>
      <c r="AJ19" s="31"/>
      <c r="AK19" s="75" t="s">
        <v>50</v>
      </c>
    </row>
    <row r="20" spans="2:37" s="2" customFormat="1">
      <c r="B20" s="4">
        <v>16</v>
      </c>
      <c r="C20" s="1" t="s">
        <v>15</v>
      </c>
      <c r="D20" s="5" t="s">
        <v>80</v>
      </c>
      <c r="E20" s="5" t="s">
        <v>105</v>
      </c>
      <c r="F20" s="51">
        <v>460</v>
      </c>
      <c r="G20" s="61">
        <v>45787</v>
      </c>
      <c r="H20" s="29">
        <v>2</v>
      </c>
      <c r="I20" s="29">
        <v>2</v>
      </c>
      <c r="J20" s="29">
        <v>3</v>
      </c>
      <c r="K20" s="29">
        <v>2</v>
      </c>
      <c r="L20" s="38"/>
      <c r="M20" s="61"/>
      <c r="N20" s="29"/>
      <c r="O20" s="29"/>
      <c r="P20" s="29"/>
      <c r="Q20" s="29"/>
      <c r="R20" s="38"/>
      <c r="S20" s="61"/>
      <c r="T20" s="29"/>
      <c r="U20" s="29"/>
      <c r="V20" s="29"/>
      <c r="W20" s="29"/>
      <c r="X20" s="38"/>
      <c r="Y20" s="61"/>
      <c r="Z20" s="29"/>
      <c r="AA20" s="29"/>
      <c r="AB20" s="29"/>
      <c r="AC20" s="29"/>
      <c r="AD20" s="38"/>
      <c r="AE20" s="61">
        <v>44503</v>
      </c>
      <c r="AF20" s="29">
        <v>2</v>
      </c>
      <c r="AG20" s="30">
        <v>3</v>
      </c>
      <c r="AH20" s="30">
        <v>4</v>
      </c>
      <c r="AI20" s="30">
        <v>2</v>
      </c>
      <c r="AJ20" s="31" t="s">
        <v>61</v>
      </c>
      <c r="AK20" s="76" t="s">
        <v>57</v>
      </c>
    </row>
    <row r="21" spans="2:37" s="2" customFormat="1">
      <c r="B21" s="4">
        <v>17</v>
      </c>
      <c r="C21" s="1" t="s">
        <v>16</v>
      </c>
      <c r="D21" s="5" t="s">
        <v>101</v>
      </c>
      <c r="E21" s="5" t="s">
        <v>105</v>
      </c>
      <c r="F21" s="51">
        <v>464</v>
      </c>
      <c r="G21" s="61">
        <v>45789</v>
      </c>
      <c r="H21" s="29">
        <v>2</v>
      </c>
      <c r="I21" s="29">
        <v>2</v>
      </c>
      <c r="J21" s="29">
        <v>3</v>
      </c>
      <c r="K21" s="29">
        <v>2</v>
      </c>
      <c r="L21" s="38"/>
      <c r="M21" s="61"/>
      <c r="N21" s="29"/>
      <c r="O21" s="29"/>
      <c r="P21" s="29"/>
      <c r="Q21" s="29"/>
      <c r="R21" s="38"/>
      <c r="S21" s="61"/>
      <c r="T21" s="29"/>
      <c r="U21" s="29"/>
      <c r="V21" s="29"/>
      <c r="W21" s="29"/>
      <c r="X21" s="38"/>
      <c r="Y21" s="61"/>
      <c r="Z21" s="29"/>
      <c r="AA21" s="29"/>
      <c r="AB21" s="29"/>
      <c r="AC21" s="29"/>
      <c r="AD21" s="38"/>
      <c r="AE21" s="61">
        <v>44503</v>
      </c>
      <c r="AF21" s="29">
        <v>3</v>
      </c>
      <c r="AG21" s="30">
        <v>3</v>
      </c>
      <c r="AH21" s="30">
        <v>4</v>
      </c>
      <c r="AI21" s="30">
        <v>3</v>
      </c>
      <c r="AJ21" s="31" t="s">
        <v>62</v>
      </c>
      <c r="AK21" s="76" t="s">
        <v>57</v>
      </c>
    </row>
    <row r="22" spans="2:37" s="2" customFormat="1">
      <c r="B22" s="4">
        <v>18</v>
      </c>
      <c r="C22" s="1" t="s">
        <v>17</v>
      </c>
      <c r="D22" s="5" t="s">
        <v>101</v>
      </c>
      <c r="E22" s="5" t="s">
        <v>105</v>
      </c>
      <c r="F22" s="51">
        <v>579</v>
      </c>
      <c r="G22" s="61"/>
      <c r="H22" s="29"/>
      <c r="I22" s="29"/>
      <c r="J22" s="29"/>
      <c r="K22" s="29"/>
      <c r="L22" s="38"/>
      <c r="M22" s="61"/>
      <c r="N22" s="29"/>
      <c r="O22" s="29"/>
      <c r="P22" s="29"/>
      <c r="Q22" s="29"/>
      <c r="R22" s="38"/>
      <c r="S22" s="61"/>
      <c r="T22" s="29"/>
      <c r="U22" s="29"/>
      <c r="V22" s="29"/>
      <c r="W22" s="29"/>
      <c r="X22" s="38"/>
      <c r="Y22" s="61"/>
      <c r="Z22" s="29"/>
      <c r="AA22" s="29"/>
      <c r="AB22" s="29"/>
      <c r="AC22" s="29"/>
      <c r="AD22" s="38"/>
      <c r="AE22" s="61">
        <v>44503</v>
      </c>
      <c r="AF22" s="29">
        <v>2</v>
      </c>
      <c r="AG22" s="30">
        <v>3</v>
      </c>
      <c r="AH22" s="30">
        <v>4</v>
      </c>
      <c r="AI22" s="30">
        <v>2</v>
      </c>
      <c r="AJ22" s="31" t="s">
        <v>63</v>
      </c>
      <c r="AK22" s="75" t="s">
        <v>57</v>
      </c>
    </row>
    <row r="23" spans="2:37" s="2" customFormat="1">
      <c r="B23" s="4">
        <v>19</v>
      </c>
      <c r="C23" s="1" t="s">
        <v>18</v>
      </c>
      <c r="D23" s="5" t="s">
        <v>80</v>
      </c>
      <c r="E23" s="5" t="s">
        <v>100</v>
      </c>
      <c r="F23" s="51">
        <v>410</v>
      </c>
      <c r="G23" s="61">
        <v>45818</v>
      </c>
      <c r="H23" s="29">
        <v>2</v>
      </c>
      <c r="I23" s="29">
        <v>3</v>
      </c>
      <c r="J23" s="29">
        <v>3</v>
      </c>
      <c r="K23" s="29">
        <v>2</v>
      </c>
      <c r="L23" s="38"/>
      <c r="M23" s="61"/>
      <c r="N23" s="29"/>
      <c r="O23" s="29"/>
      <c r="P23" s="29"/>
      <c r="Q23" s="29"/>
      <c r="R23" s="38"/>
      <c r="S23" s="61"/>
      <c r="T23" s="29"/>
      <c r="U23" s="29"/>
      <c r="V23" s="29"/>
      <c r="W23" s="29"/>
      <c r="X23" s="38"/>
      <c r="Y23" s="61"/>
      <c r="Z23" s="29"/>
      <c r="AA23" s="29"/>
      <c r="AB23" s="29"/>
      <c r="AC23" s="29"/>
      <c r="AD23" s="38"/>
      <c r="AE23" s="61">
        <v>44530</v>
      </c>
      <c r="AF23" s="29">
        <v>3</v>
      </c>
      <c r="AG23" s="30">
        <v>3</v>
      </c>
      <c r="AH23" s="30">
        <v>3</v>
      </c>
      <c r="AI23" s="30">
        <v>3</v>
      </c>
      <c r="AJ23" s="31" t="s">
        <v>64</v>
      </c>
      <c r="AK23" s="75" t="s">
        <v>54</v>
      </c>
    </row>
    <row r="24" spans="2:37" s="2" customFormat="1">
      <c r="B24" s="4">
        <v>20</v>
      </c>
      <c r="C24" s="1" t="s">
        <v>19</v>
      </c>
      <c r="D24" s="5" t="s">
        <v>101</v>
      </c>
      <c r="E24" s="5" t="s">
        <v>42</v>
      </c>
      <c r="F24" s="51">
        <v>260</v>
      </c>
      <c r="G24" s="61"/>
      <c r="H24" s="29"/>
      <c r="I24" s="29"/>
      <c r="J24" s="29"/>
      <c r="K24" s="29"/>
      <c r="L24" s="38"/>
      <c r="M24" s="61"/>
      <c r="N24" s="29"/>
      <c r="O24" s="29"/>
      <c r="P24" s="29"/>
      <c r="Q24" s="29"/>
      <c r="R24" s="38"/>
      <c r="S24" s="61"/>
      <c r="T24" s="29"/>
      <c r="U24" s="29"/>
      <c r="V24" s="29"/>
      <c r="W24" s="29"/>
      <c r="X24" s="38"/>
      <c r="Y24" s="61">
        <v>44571</v>
      </c>
      <c r="Z24" s="29">
        <v>1</v>
      </c>
      <c r="AA24" s="29">
        <v>3</v>
      </c>
      <c r="AB24" s="29">
        <v>1</v>
      </c>
      <c r="AC24" s="29">
        <v>2</v>
      </c>
      <c r="AD24" s="57" t="s">
        <v>65</v>
      </c>
      <c r="AE24" s="71"/>
      <c r="AF24" s="30"/>
      <c r="AG24" s="30"/>
      <c r="AH24" s="30"/>
      <c r="AI24" s="30"/>
      <c r="AJ24" s="31"/>
      <c r="AK24" s="75" t="s">
        <v>50</v>
      </c>
    </row>
    <row r="25" spans="2:37" s="2" customFormat="1">
      <c r="B25" s="4">
        <v>21</v>
      </c>
      <c r="C25" s="1" t="s">
        <v>20</v>
      </c>
      <c r="D25" s="5" t="s">
        <v>101</v>
      </c>
      <c r="E25" s="5" t="s">
        <v>100</v>
      </c>
      <c r="F25" s="51">
        <v>11</v>
      </c>
      <c r="G25" s="61"/>
      <c r="H25" s="29"/>
      <c r="I25" s="29"/>
      <c r="J25" s="29"/>
      <c r="K25" s="29"/>
      <c r="L25" s="38"/>
      <c r="M25" s="61"/>
      <c r="N25" s="29"/>
      <c r="O25" s="29"/>
      <c r="P25" s="29"/>
      <c r="Q25" s="29"/>
      <c r="R25" s="38"/>
      <c r="S25" s="61">
        <v>45096</v>
      </c>
      <c r="T25" s="29">
        <v>3</v>
      </c>
      <c r="U25" s="29">
        <v>3</v>
      </c>
      <c r="V25" s="29">
        <v>4</v>
      </c>
      <c r="W25" s="29">
        <v>3</v>
      </c>
      <c r="X25" s="38"/>
      <c r="Y25" s="61"/>
      <c r="Z25" s="29"/>
      <c r="AA25" s="29"/>
      <c r="AB25" s="29"/>
      <c r="AC25" s="29"/>
      <c r="AD25" s="38"/>
      <c r="AE25" s="71"/>
      <c r="AF25" s="30"/>
      <c r="AG25" s="30"/>
      <c r="AH25" s="30"/>
      <c r="AI25" s="30"/>
      <c r="AJ25" s="31"/>
      <c r="AK25" s="75" t="s">
        <v>59</v>
      </c>
    </row>
    <row r="26" spans="2:37" s="2" customFormat="1">
      <c r="B26" s="4">
        <v>22</v>
      </c>
      <c r="C26" s="1" t="s">
        <v>21</v>
      </c>
      <c r="D26" s="5" t="s">
        <v>101</v>
      </c>
      <c r="E26" s="5" t="s">
        <v>100</v>
      </c>
      <c r="F26" s="51">
        <v>81</v>
      </c>
      <c r="G26" s="61">
        <v>45789</v>
      </c>
      <c r="H26" s="29">
        <v>3</v>
      </c>
      <c r="I26" s="29">
        <v>3</v>
      </c>
      <c r="J26" s="29">
        <v>3</v>
      </c>
      <c r="K26" s="29">
        <v>3</v>
      </c>
      <c r="L26" s="38"/>
      <c r="M26" s="61"/>
      <c r="N26" s="29"/>
      <c r="O26" s="29"/>
      <c r="P26" s="29"/>
      <c r="Q26" s="29"/>
      <c r="R26" s="38"/>
      <c r="S26" s="61"/>
      <c r="T26" s="29"/>
      <c r="U26" s="29"/>
      <c r="V26" s="29"/>
      <c r="W26" s="29"/>
      <c r="X26" s="38"/>
      <c r="Y26" s="61"/>
      <c r="Z26" s="29"/>
      <c r="AA26" s="29"/>
      <c r="AB26" s="29"/>
      <c r="AC26" s="29"/>
      <c r="AD26" s="38"/>
      <c r="AE26" s="61">
        <v>44530</v>
      </c>
      <c r="AF26" s="29">
        <v>3</v>
      </c>
      <c r="AG26" s="30">
        <v>3</v>
      </c>
      <c r="AH26" s="30">
        <v>3</v>
      </c>
      <c r="AI26" s="30">
        <v>3</v>
      </c>
      <c r="AJ26" s="31" t="s">
        <v>66</v>
      </c>
      <c r="AK26" s="75" t="s">
        <v>50</v>
      </c>
    </row>
    <row r="27" spans="2:37" s="2" customFormat="1">
      <c r="B27" s="4">
        <v>23</v>
      </c>
      <c r="C27" s="1" t="s">
        <v>22</v>
      </c>
      <c r="D27" s="5" t="s">
        <v>101</v>
      </c>
      <c r="E27" s="5" t="s">
        <v>100</v>
      </c>
      <c r="F27" s="51">
        <v>26</v>
      </c>
      <c r="G27" s="61"/>
      <c r="H27" s="29"/>
      <c r="I27" s="29"/>
      <c r="J27" s="29"/>
      <c r="K27" s="29"/>
      <c r="L27" s="38"/>
      <c r="M27" s="61"/>
      <c r="N27" s="29"/>
      <c r="O27" s="29"/>
      <c r="P27" s="29"/>
      <c r="Q27" s="29"/>
      <c r="R27" s="38"/>
      <c r="S27" s="61">
        <v>45034</v>
      </c>
      <c r="T27" s="29">
        <v>2</v>
      </c>
      <c r="U27" s="29">
        <v>4</v>
      </c>
      <c r="V27" s="29">
        <v>2</v>
      </c>
      <c r="W27" s="29">
        <v>3</v>
      </c>
      <c r="X27" s="38"/>
      <c r="Y27" s="61"/>
      <c r="Z27" s="29"/>
      <c r="AA27" s="29"/>
      <c r="AB27" s="29"/>
      <c r="AC27" s="29"/>
      <c r="AD27" s="38"/>
      <c r="AE27" s="71"/>
      <c r="AF27" s="30"/>
      <c r="AG27" s="30"/>
      <c r="AH27" s="30"/>
      <c r="AI27" s="30"/>
      <c r="AJ27" s="31"/>
      <c r="AK27" s="75" t="s">
        <v>56</v>
      </c>
    </row>
    <row r="28" spans="2:37" s="2" customFormat="1">
      <c r="B28" s="4">
        <v>24</v>
      </c>
      <c r="C28" s="1" t="s">
        <v>25</v>
      </c>
      <c r="D28" s="5" t="s">
        <v>116</v>
      </c>
      <c r="E28" s="5" t="s">
        <v>117</v>
      </c>
      <c r="F28" s="51">
        <v>159</v>
      </c>
      <c r="G28" s="61"/>
      <c r="H28" s="29"/>
      <c r="I28" s="29"/>
      <c r="J28" s="29"/>
      <c r="K28" s="29"/>
      <c r="L28" s="38"/>
      <c r="M28" s="61"/>
      <c r="N28" s="29"/>
      <c r="O28" s="29"/>
      <c r="P28" s="29"/>
      <c r="Q28" s="29"/>
      <c r="R28" s="38"/>
      <c r="S28" s="61"/>
      <c r="T28" s="29"/>
      <c r="U28" s="29"/>
      <c r="V28" s="29"/>
      <c r="W28" s="29"/>
      <c r="X28" s="38"/>
      <c r="Y28" s="61"/>
      <c r="Z28" s="29"/>
      <c r="AA28" s="29"/>
      <c r="AB28" s="29"/>
      <c r="AC28" s="29"/>
      <c r="AD28" s="38"/>
      <c r="AE28" s="71"/>
      <c r="AF28" s="30"/>
      <c r="AG28" s="30"/>
      <c r="AH28" s="30"/>
      <c r="AI28" s="30"/>
      <c r="AJ28" s="31"/>
      <c r="AK28" s="75"/>
    </row>
    <row r="29" spans="2:37" s="2" customFormat="1">
      <c r="B29" s="11">
        <v>25</v>
      </c>
      <c r="C29" s="12" t="s">
        <v>26</v>
      </c>
      <c r="D29" s="13" t="s">
        <v>116</v>
      </c>
      <c r="E29" s="13" t="s">
        <v>117</v>
      </c>
      <c r="F29" s="52">
        <v>256</v>
      </c>
      <c r="G29" s="62"/>
      <c r="H29" s="32"/>
      <c r="I29" s="32"/>
      <c r="J29" s="32"/>
      <c r="K29" s="32"/>
      <c r="L29" s="40"/>
      <c r="M29" s="62"/>
      <c r="N29" s="32"/>
      <c r="O29" s="32"/>
      <c r="P29" s="32"/>
      <c r="Q29" s="32"/>
      <c r="R29" s="40"/>
      <c r="S29" s="62"/>
      <c r="T29" s="32"/>
      <c r="U29" s="32"/>
      <c r="V29" s="32"/>
      <c r="W29" s="32"/>
      <c r="X29" s="40"/>
      <c r="Y29" s="62"/>
      <c r="Z29" s="32"/>
      <c r="AA29" s="32"/>
      <c r="AB29" s="32"/>
      <c r="AC29" s="32"/>
      <c r="AD29" s="40"/>
      <c r="AE29" s="72"/>
      <c r="AF29" s="33"/>
      <c r="AG29" s="33"/>
      <c r="AH29" s="33"/>
      <c r="AI29" s="33"/>
      <c r="AJ29" s="34"/>
      <c r="AK29" s="77"/>
    </row>
  </sheetData>
  <autoFilter ref="B4:AU29" xr:uid="{28B54D0C-934C-4F4A-A3E9-D55E1003A2CD}"/>
  <mergeCells count="8">
    <mergeCell ref="AR3:AU3"/>
    <mergeCell ref="B2:I2"/>
    <mergeCell ref="B3:B4"/>
    <mergeCell ref="C3:C4"/>
    <mergeCell ref="D3:D4"/>
    <mergeCell ref="E3:E4"/>
    <mergeCell ref="F3:F4"/>
    <mergeCell ref="AL3:AQ3"/>
  </mergeCells>
  <conditionalFormatting sqref="H8:H9">
    <cfRule type="cellIs" dxfId="15" priority="16" operator="lessThanOrEqual">
      <formula>2</formula>
    </cfRule>
  </conditionalFormatting>
  <conditionalFormatting sqref="H19:H21">
    <cfRule type="cellIs" dxfId="14" priority="15" operator="lessThanOrEqual">
      <formula>2</formula>
    </cfRule>
  </conditionalFormatting>
  <conditionalFormatting sqref="H23">
    <cfRule type="cellIs" dxfId="13" priority="14" operator="lessThanOrEqual">
      <formula>2</formula>
    </cfRule>
  </conditionalFormatting>
  <conditionalFormatting sqref="H26">
    <cfRule type="cellIs" dxfId="12" priority="13" operator="lessThanOrEqual">
      <formula>2</formula>
    </cfRule>
  </conditionalFormatting>
  <conditionalFormatting sqref="N5">
    <cfRule type="cellIs" dxfId="11" priority="12" operator="lessThanOrEqual">
      <formula>2</formula>
    </cfRule>
  </conditionalFormatting>
  <conditionalFormatting sqref="N10">
    <cfRule type="cellIs" dxfId="10" priority="11" operator="lessThanOrEqual">
      <formula>2</formula>
    </cfRule>
  </conditionalFormatting>
  <conditionalFormatting sqref="T7">
    <cfRule type="cellIs" dxfId="9" priority="10" operator="lessThanOrEqual">
      <formula>2</formula>
    </cfRule>
  </conditionalFormatting>
  <conditionalFormatting sqref="T12:T13">
    <cfRule type="cellIs" dxfId="8" priority="9" operator="lessThanOrEqual">
      <formula>2</formula>
    </cfRule>
  </conditionalFormatting>
  <conditionalFormatting sqref="T25">
    <cfRule type="cellIs" dxfId="7" priority="8" operator="lessThanOrEqual">
      <formula>2</formula>
    </cfRule>
  </conditionalFormatting>
  <conditionalFormatting sqref="T27:T29">
    <cfRule type="cellIs" dxfId="6" priority="7" operator="lessThanOrEqual">
      <formula>2</formula>
    </cfRule>
  </conditionalFormatting>
  <conditionalFormatting sqref="Z6">
    <cfRule type="cellIs" dxfId="5" priority="6" operator="lessThanOrEqual">
      <formula>2</formula>
    </cfRule>
  </conditionalFormatting>
  <conditionalFormatting sqref="Z11">
    <cfRule type="cellIs" dxfId="4" priority="5" operator="lessThanOrEqual">
      <formula>2</formula>
    </cfRule>
  </conditionalFormatting>
  <conditionalFormatting sqref="Z24">
    <cfRule type="cellIs" dxfId="3" priority="4" operator="lessThanOrEqual">
      <formula>2</formula>
    </cfRule>
  </conditionalFormatting>
  <conditionalFormatting sqref="AF14:AF18">
    <cfRule type="cellIs" dxfId="2" priority="3" operator="lessThanOrEqual">
      <formula>2</formula>
    </cfRule>
  </conditionalFormatting>
  <conditionalFormatting sqref="AF20:AF23">
    <cfRule type="cellIs" dxfId="1" priority="2" operator="lessThanOrEqual">
      <formula>2</formula>
    </cfRule>
  </conditionalFormatting>
  <conditionalFormatting sqref="AF26">
    <cfRule type="cellIs" dxfId="0" priority="1" operator="lessThanOrEqual">
      <formula>2</formula>
    </cfRule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6839-F416-4CA9-98FE-BC1DF1BAD0FF}">
  <dimension ref="B2:S29"/>
  <sheetViews>
    <sheetView showGridLines="0" topLeftCell="A18" zoomScale="80" zoomScaleNormal="80" workbookViewId="0">
      <selection activeCell="G28" sqref="G28"/>
    </sheetView>
  </sheetViews>
  <sheetFormatPr defaultColWidth="11.85546875" defaultRowHeight="13.8"/>
  <cols>
    <col min="1" max="1" width="11.85546875" style="78"/>
    <col min="2" max="2" width="18.5703125" style="78" customWidth="1"/>
    <col min="3" max="3" width="19" style="78" customWidth="1"/>
    <col min="4" max="4" width="22" style="78" customWidth="1"/>
    <col min="5" max="5" width="25.140625" style="78" customWidth="1"/>
    <col min="6" max="6" width="47.28515625" style="78" customWidth="1"/>
    <col min="7" max="7" width="90.5703125" style="78" bestFit="1" customWidth="1"/>
    <col min="8" max="10" width="11.85546875" style="78"/>
    <col min="11" max="11" width="3.140625" style="78" customWidth="1"/>
    <col min="12" max="12" width="11.85546875" style="78"/>
    <col min="13" max="18" width="13.85546875" style="78" bestFit="1" customWidth="1"/>
    <col min="19" max="19" width="19" style="78" customWidth="1"/>
    <col min="20" max="20" width="3.85546875" style="78" customWidth="1"/>
    <col min="21" max="16384" width="11.85546875" style="78"/>
  </cols>
  <sheetData>
    <row r="2" spans="2:7" ht="19.95" customHeight="1">
      <c r="B2" s="139" t="s">
        <v>119</v>
      </c>
      <c r="C2" s="139"/>
      <c r="D2" s="139"/>
      <c r="E2" s="139"/>
      <c r="F2" s="139"/>
      <c r="G2" s="139"/>
    </row>
    <row r="3" spans="2:7" ht="19.95" customHeight="1">
      <c r="B3" s="79" t="s">
        <v>120</v>
      </c>
      <c r="C3" s="79" t="s">
        <v>121</v>
      </c>
      <c r="D3" s="79" t="s">
        <v>122</v>
      </c>
      <c r="E3" s="79" t="s">
        <v>123</v>
      </c>
      <c r="F3" s="79" t="s">
        <v>124</v>
      </c>
      <c r="G3" s="79" t="s">
        <v>125</v>
      </c>
    </row>
    <row r="4" spans="2:7">
      <c r="B4" s="80" t="s">
        <v>95</v>
      </c>
      <c r="C4" s="80" t="s">
        <v>126</v>
      </c>
      <c r="D4" s="80" t="s">
        <v>127</v>
      </c>
      <c r="E4" s="80" t="s">
        <v>128</v>
      </c>
      <c r="F4" s="80" t="s">
        <v>129</v>
      </c>
      <c r="G4" s="81" t="str">
        <f>_xlfn.CONCAT(D4," - ",C4," - ",E4," - ",F4)</f>
        <v>Rural - Fraca - Insignificante - CO2 (menor concentração)</v>
      </c>
    </row>
    <row r="5" spans="2:7">
      <c r="B5" s="80" t="s">
        <v>95</v>
      </c>
      <c r="C5" s="80" t="s">
        <v>126</v>
      </c>
      <c r="D5" s="80" t="s">
        <v>130</v>
      </c>
      <c r="E5" s="80" t="s">
        <v>128</v>
      </c>
      <c r="F5" s="80" t="s">
        <v>129</v>
      </c>
      <c r="G5" s="81" t="str">
        <f t="shared" ref="G5:G10" si="0">_xlfn.CONCAT(D5," - ",C5," - ",E5," - ",F5)</f>
        <v>Submerso - Fraca - Insignificante - CO2 (menor concentração)</v>
      </c>
    </row>
    <row r="6" spans="2:7">
      <c r="B6" s="80" t="s">
        <v>91</v>
      </c>
      <c r="C6" s="80" t="s">
        <v>131</v>
      </c>
      <c r="D6" s="80" t="s">
        <v>132</v>
      </c>
      <c r="E6" s="80" t="s">
        <v>133</v>
      </c>
      <c r="F6" s="80" t="s">
        <v>134</v>
      </c>
      <c r="G6" s="81" t="str">
        <f t="shared" si="0"/>
        <v>Urbano - Moderada - Pequeno - CO2 (maior concentração)</v>
      </c>
    </row>
    <row r="7" spans="2:7">
      <c r="B7" s="80" t="s">
        <v>99</v>
      </c>
      <c r="C7" s="80" t="s">
        <v>135</v>
      </c>
      <c r="D7" s="80" t="s">
        <v>136</v>
      </c>
      <c r="E7" s="80" t="s">
        <v>137</v>
      </c>
      <c r="F7" s="80" t="s">
        <v>138</v>
      </c>
      <c r="G7" s="81" t="str">
        <f t="shared" si="0"/>
        <v>Marinho - Forte - Grande - CL⁻ (menor concentração)</v>
      </c>
    </row>
    <row r="8" spans="2:7">
      <c r="B8" s="80" t="s">
        <v>99</v>
      </c>
      <c r="C8" s="80" t="s">
        <v>135</v>
      </c>
      <c r="D8" s="80" t="s">
        <v>139</v>
      </c>
      <c r="E8" s="80" t="s">
        <v>137</v>
      </c>
      <c r="F8" s="80" t="s">
        <v>138</v>
      </c>
      <c r="G8" s="81" t="str">
        <f t="shared" si="0"/>
        <v>Industrial - Forte - Grande - CL⁻ (menor concentração)</v>
      </c>
    </row>
    <row r="9" spans="2:7">
      <c r="B9" s="80" t="s">
        <v>83</v>
      </c>
      <c r="C9" s="80" t="s">
        <v>140</v>
      </c>
      <c r="D9" s="80" t="s">
        <v>139</v>
      </c>
      <c r="E9" s="80" t="s">
        <v>141</v>
      </c>
      <c r="F9" s="80" t="s">
        <v>142</v>
      </c>
      <c r="G9" s="81" t="str">
        <f t="shared" si="0"/>
        <v>Industrial - Muito Forte - Elevado - CL⁻ (maior concentração), acídos e sulfatos</v>
      </c>
    </row>
    <row r="10" spans="2:7">
      <c r="B10" s="80" t="s">
        <v>143</v>
      </c>
      <c r="C10" s="80" t="s">
        <v>144</v>
      </c>
      <c r="D10" s="80" t="s">
        <v>145</v>
      </c>
      <c r="E10" s="80" t="s">
        <v>141</v>
      </c>
      <c r="F10" s="80" t="s">
        <v>142</v>
      </c>
      <c r="G10" s="81" t="str">
        <f t="shared" si="0"/>
        <v>Respingos de Maré - Extremo - Elevado - CL⁻ (maior concentração), acídos e sulfatos</v>
      </c>
    </row>
    <row r="13" spans="2:7" ht="19.95" customHeight="1">
      <c r="B13" s="140" t="s">
        <v>146</v>
      </c>
      <c r="C13" s="141"/>
      <c r="D13" s="141"/>
      <c r="E13" s="141"/>
      <c r="F13" s="141"/>
      <c r="G13" s="142"/>
    </row>
    <row r="14" spans="2:7" ht="19.95" customHeight="1">
      <c r="B14" s="82" t="s">
        <v>147</v>
      </c>
      <c r="C14" s="79" t="s">
        <v>121</v>
      </c>
      <c r="D14" s="143" t="s">
        <v>122</v>
      </c>
      <c r="E14" s="143"/>
      <c r="F14" s="143"/>
      <c r="G14" s="83" t="s">
        <v>125</v>
      </c>
    </row>
    <row r="15" spans="2:7" s="86" customFormat="1" ht="25.95" customHeight="1">
      <c r="B15" s="84" t="s">
        <v>113</v>
      </c>
      <c r="C15" s="84" t="s">
        <v>148</v>
      </c>
      <c r="D15" s="134" t="s">
        <v>149</v>
      </c>
      <c r="E15" s="135"/>
      <c r="F15" s="136"/>
      <c r="G15" s="85" t="str">
        <f>_xlfn.CONCAT(C15," - ",D15)</f>
        <v>Muito Baixa - Estrutura não exposta em áreas de ambiente agressivo;
Com temperatura controlada onde não ocorre a condensação de umidade ar.</v>
      </c>
    </row>
    <row r="16" spans="2:7" s="86" customFormat="1" ht="35.549999999999997" customHeight="1">
      <c r="B16" s="84" t="s">
        <v>96</v>
      </c>
      <c r="C16" s="84" t="s">
        <v>150</v>
      </c>
      <c r="D16" s="134" t="s">
        <v>151</v>
      </c>
      <c r="E16" s="135"/>
      <c r="F16" s="136"/>
      <c r="G16" s="85" t="str">
        <f t="shared" ref="G16:G20" si="1">_xlfn.CONCAT(C16," - ",D16)</f>
        <v>Baixa - Estrutura exposta a áreas rurais com baixa poluição atmosférica;
Com temperatura não controlada onde a condensação da umidade do ar pode ocorrer.</v>
      </c>
    </row>
    <row r="17" spans="2:19" s="86" customFormat="1" ht="55.5" customHeight="1">
      <c r="B17" s="84" t="s">
        <v>92</v>
      </c>
      <c r="C17" s="84" t="s">
        <v>131</v>
      </c>
      <c r="D17" s="134" t="s">
        <v>152</v>
      </c>
      <c r="E17" s="135"/>
      <c r="F17" s="136"/>
      <c r="G17" s="85" t="str">
        <f t="shared" si="1"/>
        <v>Moderada - Estrutura exposta em centros urbanos e/ou ambiente industriais com poluição moderada por dioxido de enxofre (SO2);
Regiões litorais com baixa salinidade;
Ambientes com alta umidade.</v>
      </c>
    </row>
    <row r="18" spans="2:19" s="86" customFormat="1" ht="55.05" customHeight="1">
      <c r="B18" s="84" t="s">
        <v>153</v>
      </c>
      <c r="C18" s="84" t="s">
        <v>135</v>
      </c>
      <c r="D18" s="134" t="s">
        <v>154</v>
      </c>
      <c r="E18" s="135"/>
      <c r="F18" s="136"/>
      <c r="G18" s="85" t="str">
        <f t="shared" si="1"/>
        <v>Forte - Estrutura exposta em áreas industriais;
Regiões costeiras com moderada salinidade;
Plantas em que ocorrem processos químicos; 
Ambientes com alta umidade do ar localizados no litoral.</v>
      </c>
    </row>
    <row r="19" spans="2:19" s="86" customFormat="1" ht="78" customHeight="1">
      <c r="B19" s="84" t="s">
        <v>84</v>
      </c>
      <c r="C19" s="84" t="s">
        <v>140</v>
      </c>
      <c r="D19" s="134" t="s">
        <v>155</v>
      </c>
      <c r="E19" s="135"/>
      <c r="F19" s="136"/>
      <c r="G19" s="85" t="str">
        <f t="shared" si="1"/>
        <v>Muito Forte - Estrutura exposta em áreas industriais; 
Regiões costeiras com alta salinidade;
Ambientes com alta umidade do ar e/ou atmosfera agressiva localizados no litoral;
Ambientes altamente poluídos ou com condensação da umidade do ar permanente.</v>
      </c>
    </row>
    <row r="20" spans="2:19" s="86" customFormat="1" ht="52.05" customHeight="1">
      <c r="B20" s="84" t="s">
        <v>156</v>
      </c>
      <c r="C20" s="84" t="s">
        <v>144</v>
      </c>
      <c r="D20" s="134" t="s">
        <v>157</v>
      </c>
      <c r="E20" s="135"/>
      <c r="F20" s="136"/>
      <c r="G20" s="85" t="str">
        <f t="shared" si="1"/>
        <v>Extremo - Estrutura exposta em áreas marinhas; 
Estrutura exposta em áreas industriais com umidades do ar extremas e atmosfera agressiva (tropical e subtropical);
Regiões costeiras com alta salinidade.</v>
      </c>
    </row>
    <row r="23" spans="2:19" ht="64.5" customHeight="1">
      <c r="L23" s="87" t="s">
        <v>42</v>
      </c>
      <c r="M23" s="137" t="s">
        <v>158</v>
      </c>
      <c r="N23" s="138"/>
      <c r="O23" s="138"/>
      <c r="P23" s="138"/>
      <c r="Q23" s="138"/>
      <c r="R23" s="138"/>
    </row>
    <row r="24" spans="2:19" ht="35.1" customHeight="1">
      <c r="L24" s="88" t="s">
        <v>159</v>
      </c>
      <c r="M24" s="89" t="s">
        <v>160</v>
      </c>
      <c r="N24" s="90" t="s">
        <v>160</v>
      </c>
      <c r="O24" s="90" t="s">
        <v>160</v>
      </c>
      <c r="P24" s="90" t="s">
        <v>160</v>
      </c>
      <c r="Q24" s="90" t="s">
        <v>160</v>
      </c>
      <c r="R24" s="90" t="s">
        <v>160</v>
      </c>
    </row>
    <row r="25" spans="2:19" ht="35.1" customHeight="1">
      <c r="L25" s="88" t="s">
        <v>161</v>
      </c>
      <c r="M25" s="91" t="s">
        <v>162</v>
      </c>
      <c r="N25" s="92" t="s">
        <v>162</v>
      </c>
      <c r="O25" s="92" t="s">
        <v>162</v>
      </c>
      <c r="P25" s="92" t="s">
        <v>162</v>
      </c>
      <c r="Q25" s="92" t="s">
        <v>162</v>
      </c>
      <c r="R25" s="90" t="s">
        <v>160</v>
      </c>
    </row>
    <row r="26" spans="2:19" ht="35.1" customHeight="1">
      <c r="L26" s="88" t="s">
        <v>163</v>
      </c>
      <c r="M26" s="93" t="s">
        <v>164</v>
      </c>
      <c r="N26" s="94" t="s">
        <v>164</v>
      </c>
      <c r="O26" s="94" t="s">
        <v>164</v>
      </c>
      <c r="P26" s="94" t="s">
        <v>164</v>
      </c>
      <c r="Q26" s="92" t="s">
        <v>162</v>
      </c>
      <c r="R26" s="90" t="s">
        <v>160</v>
      </c>
    </row>
    <row r="27" spans="2:19" ht="35.1" customHeight="1">
      <c r="L27" s="88" t="s">
        <v>165</v>
      </c>
      <c r="M27" s="95" t="s">
        <v>166</v>
      </c>
      <c r="N27" s="96" t="s">
        <v>166</v>
      </c>
      <c r="O27" s="96" t="s">
        <v>166</v>
      </c>
      <c r="P27" s="94" t="s">
        <v>164</v>
      </c>
      <c r="Q27" s="92" t="s">
        <v>162</v>
      </c>
      <c r="R27" s="90" t="s">
        <v>160</v>
      </c>
    </row>
    <row r="28" spans="2:19" ht="35.1" customHeight="1" thickBot="1">
      <c r="L28" s="97" t="s">
        <v>167</v>
      </c>
      <c r="M28" s="98" t="s">
        <v>168</v>
      </c>
      <c r="N28" s="99" t="s">
        <v>168</v>
      </c>
      <c r="O28" s="100" t="s">
        <v>166</v>
      </c>
      <c r="P28" s="101" t="s">
        <v>164</v>
      </c>
      <c r="Q28" s="102" t="s">
        <v>162</v>
      </c>
      <c r="R28" s="103" t="s">
        <v>160</v>
      </c>
      <c r="S28" s="104"/>
    </row>
    <row r="29" spans="2:19" ht="33" customHeight="1">
      <c r="L29" s="105"/>
      <c r="M29" s="106" t="s">
        <v>113</v>
      </c>
      <c r="N29" s="88" t="s">
        <v>96</v>
      </c>
      <c r="O29" s="88" t="s">
        <v>92</v>
      </c>
      <c r="P29" s="88" t="s">
        <v>153</v>
      </c>
      <c r="Q29" s="88" t="s">
        <v>84</v>
      </c>
      <c r="R29" s="88" t="s">
        <v>156</v>
      </c>
      <c r="S29" s="105" t="s">
        <v>169</v>
      </c>
    </row>
  </sheetData>
  <mergeCells count="10">
    <mergeCell ref="D18:F18"/>
    <mergeCell ref="D19:F19"/>
    <mergeCell ref="D20:F20"/>
    <mergeCell ref="M23:R23"/>
    <mergeCell ref="B2:G2"/>
    <mergeCell ref="B13:G13"/>
    <mergeCell ref="D14:F14"/>
    <mergeCell ref="D15:F15"/>
    <mergeCell ref="D16:F16"/>
    <mergeCell ref="D17:F17"/>
  </mergeCells>
  <pageMargins left="0.511811024" right="0.511811024" top="0.78740157499999996" bottom="0.78740157499999996" header="0.31496062000000002" footer="0.31496062000000002"/>
  <drawing r:id="rId1"/>
</worksheet>
</file>

<file path=docMetadata/LabelInfo.xml><?xml version="1.0" encoding="utf-8"?>
<clbl:labelList xmlns:clbl="http://schemas.microsoft.com/office/2020/mipLabelMetadata">
  <clbl:label id="{340ed6a7-0f03-43d9-901d-02d4a7e408aa}" enabled="1" method="Privileged" siteId="{7893571b-6c2c-4cef-b4da-7d4b266a06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Dados Fixos</vt:lpstr>
      <vt:lpstr>Inspeção Rotineira</vt:lpstr>
      <vt:lpstr>Inspeção Especial</vt:lpstr>
      <vt:lpstr>Classe de Agressividade Amb.</vt:lpstr>
    </vt:vector>
  </TitlesOfParts>
  <Company>Vale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De Almeida Tavares</dc:creator>
  <cp:lastModifiedBy>Wagner TAVARES</cp:lastModifiedBy>
  <dcterms:created xsi:type="dcterms:W3CDTF">2026-05-31T07:44:28Z</dcterms:created>
  <dcterms:modified xsi:type="dcterms:W3CDTF">2026-06-08T18:33:47Z</dcterms:modified>
</cp:coreProperties>
</file>